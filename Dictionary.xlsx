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General" sheetId="1" state="visible" r:id="rId1"/>
  </sheets>
  <definedNames/>
  <calcPr calcId="191029" fullCalcOnLoad="1"/>
</workbook>
</file>

<file path=xl/styles.xml><?xml version="1.0" encoding="utf-8"?>
<styleSheet xmlns="http://schemas.openxmlformats.org/spreadsheetml/2006/main">
  <numFmts count="1">
    <numFmt numFmtId="164" formatCode="_(&quot;$&quot;* #,##0.00_);_(&quot;$&quot;* \(#,##0.00\);_(&quot;$&quot;* &quot;-&quot;??_);_(@_)"/>
  </numFmts>
  <fonts count="5">
    <font>
      <name val="Calibri"/>
      <family val="2"/>
      <color theme="1"/>
      <sz val="11"/>
      <scheme val="minor"/>
    </font>
    <font>
      <name val="Times New Roman"/>
      <family val="1"/>
      <b val="1"/>
      <color theme="1"/>
      <sz val="11"/>
    </font>
    <font>
      <name val="Times New Roman"/>
      <family val="1"/>
      <sz val="11"/>
    </font>
    <font>
      <name val="Times New Roman"/>
      <family val="1"/>
      <color theme="1"/>
      <sz val="11"/>
    </font>
    <font>
      <name val="Times New Roman"/>
      <family val="1"/>
      <color rgb="FFC00000"/>
      <sz val="11"/>
    </font>
  </fonts>
  <fills count="3">
    <fill>
      <patternFill/>
    </fill>
    <fill>
      <patternFill patternType="gray125"/>
    </fill>
    <fill>
      <patternFill patternType="solid">
        <fgColor rgb="FFFFFF00"/>
        <bgColor indexed="64"/>
      </patternFill>
    </fill>
  </fills>
  <borders count="2">
    <border>
      <left/>
      <right/>
      <top/>
      <bottom/>
      <diagonal/>
    </border>
    <border diagonalUp="1" diagonalDown="1">
      <left/>
      <right/>
      <top/>
      <bottom/>
      <diagonal style="thin">
        <color auto="1"/>
      </diagonal>
    </border>
  </borders>
  <cellStyleXfs count="1">
    <xf numFmtId="0" fontId="0" fillId="0" borderId="0"/>
  </cellStyleXfs>
  <cellXfs count="22">
    <xf numFmtId="0" fontId="0" fillId="0" borderId="0" pivotButton="0" quotePrefix="0" xfId="0"/>
    <xf numFmtId="0" fontId="1" fillId="0" borderId="0" applyAlignment="1" applyProtection="1" pivotButton="0" quotePrefix="0" xfId="0">
      <alignment horizontal="center" vertical="center" wrapText="1"/>
      <protection locked="0" hidden="0"/>
    </xf>
    <xf numFmtId="0" fontId="2" fillId="0" borderId="1" applyAlignment="1" applyProtection="1" pivotButton="0" quotePrefix="0" xfId="0">
      <alignment horizontal="left" vertical="center" wrapText="1"/>
      <protection locked="0" hidden="0"/>
    </xf>
    <xf numFmtId="164" fontId="3" fillId="0" borderId="0" applyAlignment="1" applyProtection="1" pivotButton="0" quotePrefix="0" xfId="0">
      <alignment horizontal="left" vertical="center" shrinkToFit="1"/>
      <protection locked="0" hidden="0"/>
    </xf>
    <xf numFmtId="14" fontId="3" fillId="0" borderId="0" applyAlignment="1" applyProtection="1" pivotButton="0" quotePrefix="0" xfId="0">
      <alignment horizontal="left" vertical="center" shrinkToFit="1"/>
      <protection locked="0" hidden="0"/>
    </xf>
    <xf numFmtId="0" fontId="2" fillId="0" borderId="0" applyAlignment="1" pivotButton="0" quotePrefix="0" xfId="0">
      <alignment horizontal="center" vertical="center"/>
    </xf>
    <xf numFmtId="0" fontId="3" fillId="0" borderId="0" applyAlignment="1" applyProtection="1" pivotButton="0" quotePrefix="0" xfId="0">
      <alignment horizontal="left" vertical="top" wrapText="1"/>
      <protection locked="0" hidden="0"/>
    </xf>
    <xf numFmtId="0" fontId="3" fillId="0" borderId="0" applyAlignment="1" applyProtection="1" pivotButton="0" quotePrefix="0" xfId="0">
      <alignment vertical="top" wrapText="1"/>
      <protection locked="0" hidden="0"/>
    </xf>
    <xf numFmtId="0" fontId="3" fillId="0" borderId="0" applyProtection="1" pivotButton="0" quotePrefix="0" xfId="0">
      <protection locked="0" hidden="0"/>
    </xf>
    <xf numFmtId="0" fontId="3" fillId="0" borderId="0" pivotButton="0" quotePrefix="0" xfId="0"/>
    <xf numFmtId="14" fontId="3" fillId="0" borderId="0" applyAlignment="1" applyProtection="1" pivotButton="0" quotePrefix="0" xfId="0">
      <alignment horizontal="left" vertical="top" wrapText="1"/>
      <protection locked="0" hidden="0"/>
    </xf>
    <xf numFmtId="0" fontId="3" fillId="0" borderId="0" applyAlignment="1" applyProtection="1" pivotButton="0" quotePrefix="0" xfId="0">
      <alignment vertical="top"/>
      <protection locked="0" hidden="0"/>
    </xf>
    <xf numFmtId="0" fontId="3" fillId="0" borderId="0" applyAlignment="1" pivotButton="0" quotePrefix="0" xfId="0">
      <alignment wrapText="1"/>
    </xf>
    <xf numFmtId="0" fontId="4" fillId="0" borderId="0" applyAlignment="1" applyProtection="1" pivotButton="0" quotePrefix="0" xfId="0">
      <alignment horizontal="left" vertical="top" wrapText="1"/>
      <protection locked="0" hidden="0"/>
    </xf>
    <xf numFmtId="0" fontId="3" fillId="0" borderId="0" applyAlignment="1" pivotButton="0" quotePrefix="0" xfId="0">
      <alignment horizontal="left" vertical="top" wrapText="1"/>
    </xf>
    <xf numFmtId="0" fontId="3" fillId="0" borderId="0" applyAlignment="1" applyProtection="1" pivotButton="0" quotePrefix="0" xfId="0">
      <alignment horizontal="justify" vertical="top" wrapText="1"/>
      <protection locked="0" hidden="0"/>
    </xf>
    <xf numFmtId="0" fontId="3" fillId="0" borderId="0" applyAlignment="1" applyProtection="1" pivotButton="0" quotePrefix="0" xfId="0">
      <alignment horizontal="left" vertical="top" shrinkToFit="1"/>
      <protection locked="0" hidden="0"/>
    </xf>
    <xf numFmtId="0" fontId="3" fillId="2" borderId="0" applyAlignment="1" applyProtection="1" pivotButton="0" quotePrefix="0" xfId="0">
      <alignment horizontal="left" vertical="top" wrapText="1"/>
      <protection locked="0" hidden="0"/>
    </xf>
    <xf numFmtId="0" fontId="3" fillId="0" borderId="0" applyAlignment="1" applyProtection="1" pivotButton="0" quotePrefix="0" xfId="0">
      <alignment horizontal="left" vertical="top"/>
      <protection locked="0" hidden="0"/>
    </xf>
    <xf numFmtId="0" fontId="3" fillId="0" borderId="0" applyAlignment="1" pivotButton="0" quotePrefix="0" xfId="0">
      <alignment vertical="top" wrapText="1"/>
    </xf>
    <xf numFmtId="0" fontId="3" fillId="0" borderId="0" applyAlignment="1" applyProtection="1" pivotButton="0" quotePrefix="0" xfId="0">
      <alignment horizontal="left" vertical="center" shrinkToFit="1"/>
      <protection locked="0" hidden="0"/>
    </xf>
    <xf numFmtId="164" fontId="3" fillId="0" borderId="0" applyAlignment="1" applyProtection="1" pivotButton="0" quotePrefix="0" xfId="0">
      <alignment horizontal="left" vertical="center" shrinkToFit="1"/>
      <protection locked="0" hidden="0"/>
    </xf>
  </cellXfs>
  <cellStyles count="1">
    <cellStyle name="Normal" xfId="0" builtinId="0"/>
  </cellStyles>
  <dxfs count="10">
    <dxf>
      <font>
        <name val="Calibri"/>
        <family val="2"/>
        <strike val="0"/>
        <outline val="0"/>
        <shadow val="0"/>
        <condense val="0"/>
        <color theme="1"/>
        <extend val="0"/>
        <sz val="11"/>
        <vertAlign val="baseline"/>
        <scheme val="minor"/>
      </font>
      <fill>
        <patternFill>
          <fgColor indexed="64"/>
          <bgColor indexed="65"/>
        </patternFill>
      </fill>
      <alignment horizontal="left" vertical="top" wrapText="1"/>
      <protection locked="0" hidden="0"/>
    </dxf>
    <dxf>
      <font>
        <name val="Times New Roman"/>
        <family val="1"/>
        <strike val="0"/>
        <outline val="0"/>
        <shadow val="0"/>
        <color theme="1"/>
        <sz val="11"/>
        <vertAlign val="baseline"/>
      </font>
      <fill>
        <patternFill>
          <fgColor indexed="64"/>
          <bgColor auto="1"/>
        </patternFill>
      </fill>
      <alignment horizontal="left" vertical="top" wrapText="1"/>
      <protection locked="0" hidden="0"/>
    </dxf>
    <dxf>
      <font>
        <name val="Calibri"/>
        <family val="2"/>
        <strike val="0"/>
        <outline val="0"/>
        <shadow val="0"/>
        <condense val="0"/>
        <color theme="1"/>
        <extend val="0"/>
        <sz val="11"/>
        <vertAlign val="baseline"/>
        <scheme val="minor"/>
      </font>
      <fill>
        <patternFill>
          <fgColor indexed="64"/>
          <bgColor indexed="65"/>
        </patternFill>
      </fill>
      <alignment horizontal="left" vertical="top" wrapText="1"/>
      <protection locked="0" hidden="0"/>
    </dxf>
    <dxf>
      <font>
        <name val="Times New Roman"/>
        <family val="1"/>
        <strike val="0"/>
        <outline val="0"/>
        <shadow val="0"/>
        <color theme="1"/>
        <sz val="11"/>
        <vertAlign val="baseline"/>
      </font>
      <fill>
        <patternFill>
          <fgColor indexed="64"/>
          <bgColor auto="1"/>
        </patternFill>
      </fill>
      <alignment horizontal="left" vertical="top" wrapText="1"/>
      <protection locked="0" hidden="0"/>
    </dxf>
    <dxf>
      <font>
        <name val="Calibri"/>
        <family val="2"/>
        <strike val="0"/>
        <outline val="0"/>
        <shadow val="0"/>
        <condense val="0"/>
        <color theme="1"/>
        <extend val="0"/>
        <sz val="11"/>
        <vertAlign val="baseline"/>
        <scheme val="minor"/>
      </font>
      <fill>
        <patternFill>
          <fgColor indexed="64"/>
          <bgColor indexed="65"/>
        </patternFill>
      </fill>
      <alignment horizontal="left" vertical="top" wrapText="1"/>
      <protection locked="0" hidden="0"/>
    </dxf>
    <dxf>
      <font>
        <name val="Times New Roman"/>
        <family val="1"/>
        <strike val="0"/>
        <outline val="0"/>
        <shadow val="0"/>
        <color theme="1"/>
        <sz val="11"/>
        <vertAlign val="baseline"/>
      </font>
      <fill>
        <patternFill>
          <fgColor indexed="64"/>
          <bgColor auto="1"/>
        </patternFill>
      </fill>
      <alignment horizontal="left" vertical="top" wrapText="1"/>
      <protection locked="0" hidden="0"/>
    </dxf>
    <dxf>
      <font>
        <name val="Calibri"/>
        <family val="2"/>
        <strike val="0"/>
        <outline val="0"/>
        <shadow val="0"/>
        <condense val="0"/>
        <color theme="1"/>
        <extend val="0"/>
        <sz val="11"/>
        <vertAlign val="baseline"/>
        <scheme val="minor"/>
      </font>
      <fill>
        <patternFill>
          <fgColor indexed="64"/>
          <bgColor indexed="65"/>
        </patternFill>
      </fill>
      <alignment horizontal="left" vertical="top" wrapText="1"/>
      <protection locked="0" hidden="0"/>
    </dxf>
    <dxf>
      <font>
        <name val="Times New Roman"/>
        <family val="1"/>
        <strike val="0"/>
        <outline val="0"/>
        <shadow val="0"/>
        <color theme="1"/>
        <sz val="11"/>
        <vertAlign val="baseline"/>
      </font>
      <fill>
        <patternFill>
          <fgColor indexed="64"/>
          <bgColor auto="1"/>
        </patternFill>
      </fill>
      <alignment horizontal="left" vertical="top" wrapText="1"/>
      <protection locked="0" hidden="0"/>
    </dxf>
    <dxf>
      <font>
        <name val="Times New Roman"/>
        <family val="1"/>
        <strike val="0"/>
        <outline val="0"/>
        <shadow val="0"/>
        <sz val="11"/>
        <vertAlign val="baseline"/>
      </font>
      <alignment vertical="top"/>
    </dxf>
    <dxf>
      <font>
        <name val="Times New Roman"/>
        <family val="1"/>
        <b val="1"/>
        <strike val="0"/>
        <outline val="0"/>
        <shadow val="0"/>
        <condense val="0"/>
        <color auto="1"/>
        <extend val="0"/>
        <sz val="11"/>
        <vertAlign val="baseline"/>
      </font>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3474" displayName="Table13474" ref="A5:D2033" headerRowCount="1" totalsRowShown="0" headerRowDxfId="9" dataDxfId="8">
  <autoFilter ref="A5:D2033"/>
  <tableColumns count="4">
    <tableColumn id="1" name="Vietnamese" dataDxfId="7" totalsRowDxfId="6"/>
    <tableColumn id="6" name="E" dataDxfId="5" totalsRowDxfId="4"/>
    <tableColumn id="2" name="Hs" dataDxfId="3" totalsRowDxfId="2"/>
    <tableColumn id="7" name="Ht"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14">
    <tabColor rgb="FFFFC000"/>
    <outlinePr summaryBelow="1" summaryRight="1"/>
    <pageSetUpPr/>
  </sheetPr>
  <dimension ref="A1:D2033"/>
  <sheetViews>
    <sheetView tabSelected="1" zoomScale="115" zoomScaleNormal="115" workbookViewId="0">
      <pane ySplit="5" topLeftCell="A62" activePane="bottomLeft" state="frozen"/>
      <selection pane="bottomLeft" activeCell="B50" sqref="B50"/>
    </sheetView>
  </sheetViews>
  <sheetFormatPr baseColWidth="8" defaultRowHeight="13.8"/>
  <cols>
    <col width="39.6640625" customWidth="1" style="7" min="1" max="3"/>
    <col width="39.6640625" customWidth="1" style="11" min="4" max="4"/>
    <col width="8.88671875" customWidth="1" style="9" min="5" max="5"/>
    <col width="8.88671875" customWidth="1" style="9" min="6" max="16384"/>
  </cols>
  <sheetData>
    <row r="1">
      <c r="A1" s="20" t="inlineStr">
        <is>
          <t>Công ty TNHH Linh Kiện Từ Tính Kede (Việt Nam)</t>
        </is>
      </c>
      <c r="B1" s="21" t="inlineStr">
        <is>
          <t>ZZZ Company</t>
        </is>
      </c>
      <c r="C1" s="4" t="inlineStr">
        <is>
          <t>31/12/2025</t>
        </is>
      </c>
      <c r="D1" s="4" t="inlineStr">
        <is>
          <t>31/03/2026</t>
        </is>
      </c>
    </row>
    <row r="2">
      <c r="A2" s="18" t="inlineStr"/>
    </row>
    <row r="3">
      <c r="A3" s="19" t="inlineStr"/>
    </row>
    <row r="5" customFormat="1" s="5">
      <c r="A5" s="1" t="inlineStr">
        <is>
          <t>Vietnamese</t>
        </is>
      </c>
      <c r="B5" s="1" t="inlineStr">
        <is>
          <t>E</t>
        </is>
      </c>
      <c r="C5" s="1" t="inlineStr">
        <is>
          <t>Hs</t>
        </is>
      </c>
      <c r="D5" s="1" t="inlineStr">
        <is>
          <t>Ht</t>
        </is>
      </c>
    </row>
    <row r="6" ht="41.4" customHeight="1">
      <c r="A6" s="6" t="inlineStr">
        <is>
          <t>CÔNG TY TNHH LINH KIỆN TỪ TÍNH KEDE (VIỆT NAM)</t>
        </is>
      </c>
      <c r="B6" s="6" t="inlineStr">
        <is>
          <t>ZZZ COMPANY</t>
        </is>
      </c>
      <c r="C6" s="6" t="inlineStr">
        <is>
          <t>ZZZ COMPANY</t>
        </is>
      </c>
      <c r="D6" s="6" t="inlineStr">
        <is>
          <t>ZZZ COMPANY</t>
        </is>
      </c>
    </row>
    <row r="7" ht="41.4" customHeight="1">
      <c r="A7" s="6" t="inlineStr">
        <is>
          <t>Báo cáo tài chính cho năm tài chính kết thúc ngày 31 tháng 12 năm 2025</t>
        </is>
      </c>
      <c r="B7" s="6" t="inlineStr">
        <is>
          <t>Financial statements for the year ended December 31, 2025</t>
        </is>
      </c>
      <c r="C7" s="6" t="inlineStr">
        <is>
          <t>截至2025年12月31日止财务年度的财务报表</t>
        </is>
      </c>
      <c r="D7" s="6" t="inlineStr">
        <is>
          <t>截至2025年12月31日止財務年度之財務報表</t>
        </is>
      </c>
    </row>
    <row r="8" ht="55.2" customHeight="1">
      <c r="A8" s="6" t="inlineStr">
        <is>
          <t>Báo cáo tài chính cho giai đoạn từ ngày 04 tháng 11 năm 2025 đến ngày 31 tháng 12 năm 2025</t>
        </is>
      </c>
      <c r="B8" s="6" t="inlineStr">
        <is>
          <t>Financial statements for the period from November 04, 2025 to December 31, 2025</t>
        </is>
      </c>
      <c r="C8" s="6" t="inlineStr">
        <is>
          <t>2025年11月04日至2025年12月31日期间的财务报表</t>
        </is>
      </c>
      <c r="D8" s="6" t="inlineStr">
        <is>
          <t>2025年11月04日至2025年12月31日期間的財務報表</t>
        </is>
      </c>
    </row>
    <row r="9" ht="41.4" customHeight="1">
      <c r="A9" s="6" t="inlineStr">
        <is>
          <t>Báo cáo tài chính cho giai đoạn Từ 04/11/2025 đến 31/12/2025</t>
        </is>
      </c>
      <c r="B9" s="6" t="inlineStr">
        <is>
          <t>Financial statements for the period from November 04, 2025 to December 31, 2025</t>
        </is>
      </c>
      <c r="C9" s="6" t="inlineStr">
        <is>
          <t>2025年11月04日至2025年12月31日期间的财务报表</t>
        </is>
      </c>
      <c r="D9" s="6" t="inlineStr">
        <is>
          <t>2025年11月04日至2025年12月31日期間的財務報表</t>
        </is>
      </c>
    </row>
    <row r="10" ht="207" customHeight="1">
      <c r="A10" s="6" t="inlineStr">
        <is>
          <t>Theo ý kiến của chúng tôi, Báo cáo tài chính đã phản ánh trung thực và hợp lý, trên các khía cạnh trọng yếu tình hình tài chính của Công ty tại ngày 31 tháng 12 năm 2025,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t>
        </is>
      </c>
      <c r="B10" s="6" t="inlineStr">
        <is>
          <t>In our opinion, the financial statements present fairly, in all material respects, the financial position of the Company as at December 31, 2025, and its financial performance and its cash flows for the year then ended in accordance with Vietnamese Accounting Standards, Vietnamese enterprise accounting system and applicable regulations relevant to the preparation and presentation of financial statements in Vietnam.</t>
        </is>
      </c>
      <c r="C10" s="6" t="inlineStr">
        <is>
          <t>依本会计师的意见，上开财务报表 in all material respects 已真实、公允地反映公司在2025年12月31日财务状况以及同日结束财务年度的经营成果和现金流量状况，且符合《越南会计准则》、《越南企业会计制度》以及财务报表编制和列报的相关法规。</t>
        </is>
      </c>
      <c r="D10" s="6" t="inlineStr">
        <is>
          <t>依本會計師之意見，上開財務報表 in all material respects 已真實、公允地反映公司於2025年12月31日財務狀況以及同日結束財務年度之經營成果及現金流量狀況，且符合《越南會計準則》、《越南企業會計制度》及財務報表編製及列報之相關法規。</t>
        </is>
      </c>
    </row>
    <row r="11" ht="234.6" customHeight="1">
      <c r="A11" s="6" t="inlineStr">
        <is>
          <t>Theo ý kiến của chúng tôi, Báo cáo tài chính đã phản ánh trung thực và hợp lý, trên các khía cạnh trọng yếu tình hình tài chính của Công ty tại ngày 31 tháng 12 năm 2025, cũng như kết quả hoạt động kinh doanh và tình hình lưu chuyển tiền tệ cho giai đoạn từ ngày 04 tháng 11 năm 2025 đến ngày 31 tháng 12 năm 2025, phù hợp với chuẩn mực kế toán, chế độ kế toán doanh nghiệp Việt Nam và các quy định pháp lý có liên quan đến việc lập và trình bày Báo cáo tài chính.</t>
        </is>
      </c>
      <c r="B11" s="6" t="inlineStr">
        <is>
          <t>In our opinion, the financial statements present fairly, in all material respects, the financial position of the Company as at December 31, 2025, and its financial performance and its cash flows for the period from November 04, 2025 to December 31, 2025 in accordance with Vietnamese Accounting Standards, Vietnamese enterprise accounting system and applicable regulations relevant to the preparation and presentation of financial statements in Vietnam.</t>
        </is>
      </c>
      <c r="C11" s="6" t="inlineStr">
        <is>
          <t>依本会计师的意见，上开财务报表 in all material respects 已真实、公允地反映公司在2025年12月31日财务状况以及2025年11月04日至2025年12月31日期间的经营成果和现金流量状况，且符合《越南会计准则》、《越南企业会计制度》以及财务报表编制和列报的相关法规。</t>
        </is>
      </c>
      <c r="D11" s="6" t="inlineStr">
        <is>
          <t>依本會計師之意見，上開財務報表 in all material respects 已真實、公允地反映公司於2025年12月31日財務狀況以及2025年11月04日至2025年12月31日期間之經營成果及現金流量狀況，且符合《越南會計準則》、《越南企業會計制度》及財務報表編製及列報之相關法規。</t>
        </is>
      </c>
    </row>
    <row r="12" ht="27.6" customHeight="1">
      <c r="A12" s="6" t="inlineStr">
        <is>
          <t>Công ty TNHH Linh Kiện Từ Tính Kede (Việt Nam)</t>
        </is>
      </c>
      <c r="B12" s="6" t="inlineStr">
        <is>
          <t>ZZZ Company</t>
        </is>
      </c>
      <c r="C12" s="6" t="inlineStr">
        <is>
          <t>ZZZ Company</t>
        </is>
      </c>
      <c r="D12" s="6" t="inlineStr">
        <is>
          <t>ZZZ Company</t>
        </is>
      </c>
    </row>
    <row r="13">
      <c r="A13" s="6" t="inlineStr">
        <is>
          <t>Ngày 31 tháng 12 năm 2025</t>
        </is>
      </c>
      <c r="B13" s="10" t="inlineStr">
        <is>
          <t>December 31, 2025</t>
        </is>
      </c>
      <c r="C13" s="6" t="inlineStr">
        <is>
          <t>2025年12月31日</t>
        </is>
      </c>
      <c r="D13" s="6" t="inlineStr">
        <is>
          <t>2025年12月31日</t>
        </is>
      </c>
    </row>
    <row r="14">
      <c r="A14" s="6" t="inlineStr">
        <is>
          <t>ngày 31 tháng 12 năm 2025</t>
        </is>
      </c>
      <c r="B14" s="10" t="inlineStr">
        <is>
          <t>December 31, 2025</t>
        </is>
      </c>
      <c r="C14" s="6" t="inlineStr">
        <is>
          <t>2025年12月31日</t>
        </is>
      </c>
      <c r="D14" s="6" t="inlineStr">
        <is>
          <t>2025年12月31日</t>
        </is>
      </c>
    </row>
    <row r="15" ht="27.6" customHeight="1">
      <c r="A15" s="6" t="inlineStr">
        <is>
          <t>NGÀY 31 THÁNG 12 NĂM 2025</t>
        </is>
      </c>
      <c r="B15" s="6" t="inlineStr">
        <is>
          <t>DECEMBER 31, 2025</t>
        </is>
      </c>
      <c r="C15" s="6" t="inlineStr">
        <is>
          <t>2025年12月31日</t>
        </is>
      </c>
      <c r="D15" s="6" t="inlineStr">
        <is>
          <t>2025年12月31日</t>
        </is>
      </c>
    </row>
    <row r="16" ht="41.4" customFormat="1" customHeight="1" s="12">
      <c r="A16" s="10" t="inlineStr">
        <is>
          <t>từ ngày 04 tháng 11 năm 2025 đến ngày 31 tháng 12 năm 2025</t>
        </is>
      </c>
      <c r="B16" s="6" t="inlineStr">
        <is>
          <t>from November 04, 2025 to December 31, 2025</t>
        </is>
      </c>
      <c r="C16" s="6" t="inlineStr">
        <is>
          <t>自2025年11月04日至2025年12月31日</t>
        </is>
      </c>
      <c r="D16" s="6">
        <f>Table13474[[#This Row],[Hs]]</f>
        <v/>
      </c>
    </row>
    <row r="17" ht="27.6" customFormat="1" customHeight="1" s="12">
      <c r="A17" s="10" t="inlineStr">
        <is>
          <t>từ ngày 04/11/2025 đến ngày 31/12/2025</t>
        </is>
      </c>
      <c r="B17" s="6">
        <f>B16</f>
        <v/>
      </c>
      <c r="C17" s="6">
        <f>C16</f>
        <v/>
      </c>
      <c r="D17" s="6">
        <f>D16</f>
        <v/>
      </c>
    </row>
    <row r="18" ht="27.6" customFormat="1" customHeight="1" s="12">
      <c r="A18" s="10" t="inlineStr">
        <is>
          <t>Từ 04/11/2025 đến 31/12/2025</t>
        </is>
      </c>
      <c r="B18" s="6" t="inlineStr">
        <is>
          <t>From November 04, 2025 to December 31, 2025</t>
        </is>
      </c>
      <c r="C18" s="6" t="inlineStr">
        <is>
          <t>自2025年11月04日日至2025年12月31日日</t>
        </is>
      </c>
      <c r="D18" s="6">
        <f>Table13474[[#This Row],[Hs]]</f>
        <v/>
      </c>
    </row>
    <row r="19" ht="27.6" customFormat="1" customHeight="1" s="12">
      <c r="A19" s="10" t="n"/>
      <c r="B19" s="6" t="inlineStr">
        <is>
          <t>From November 04, 2025 to December 31, 2025</t>
        </is>
      </c>
      <c r="C19" s="6" t="inlineStr">
        <is>
          <t>自2025年11月04日日至2025年12月31日日</t>
        </is>
      </c>
      <c r="D19" s="6">
        <f>Table13474[[#This Row],[Hs]]</f>
        <v/>
      </c>
    </row>
    <row r="20">
      <c r="A20" s="6" t="inlineStr">
        <is>
          <t>Tại ngày 31 tháng 12 năm 2025</t>
        </is>
      </c>
      <c r="B20" s="6" t="inlineStr">
        <is>
          <t>As at December 31, 2025</t>
        </is>
      </c>
      <c r="C20" s="6" t="inlineStr">
        <is>
          <t>于2025年12月31日</t>
        </is>
      </c>
      <c r="D20" s="6" t="inlineStr">
        <is>
          <t>於2025年12月31日</t>
        </is>
      </c>
    </row>
    <row r="21" ht="27.6" customHeight="1">
      <c r="A21" s="6" t="inlineStr">
        <is>
          <t>Cho năm tài chính kết thúc ngày 31 tháng 12 năm 2025</t>
        </is>
      </c>
      <c r="B21" s="6" t="inlineStr">
        <is>
          <t>For the year ended December 31, 2025</t>
        </is>
      </c>
      <c r="C21" s="6" t="inlineStr">
        <is>
          <t>截至2025年12月31日止财务年度</t>
        </is>
      </c>
      <c r="D21" s="6" t="inlineStr">
        <is>
          <t>截至2025年12月31日止財務年度</t>
        </is>
      </c>
    </row>
    <row r="22" ht="27.6" customHeight="1">
      <c r="A22" s="6" t="inlineStr">
        <is>
          <t>cho năm tài chính kết thúc ngày 31 tháng 12 năm 2025</t>
        </is>
      </c>
      <c r="B22" s="6" t="inlineStr">
        <is>
          <t>for the year ended December 31, 2025</t>
        </is>
      </c>
      <c r="C22" s="6" t="inlineStr">
        <is>
          <t>截至2025年12月31日止财务年度</t>
        </is>
      </c>
      <c r="D22" s="6" t="inlineStr">
        <is>
          <t>截至2025年12月31日止財務年度</t>
        </is>
      </c>
    </row>
    <row r="23" ht="41.4" customHeight="1">
      <c r="A23" s="6" t="inlineStr">
        <is>
          <t xml:space="preserve">Cho giai đoạn </t>
        </is>
      </c>
      <c r="B23" s="6" t="inlineStr">
        <is>
          <t xml:space="preserve">For the period from  to </t>
        </is>
      </c>
      <c r="C23" s="6" t="inlineStr">
        <is>
          <t>至期间</t>
        </is>
      </c>
      <c r="D23" s="6">
        <f>$D$16&amp;"期間"</f>
        <v/>
      </c>
    </row>
    <row r="24" ht="41.4" customHeight="1">
      <c r="A24" s="6" t="inlineStr">
        <is>
          <t xml:space="preserve">Cho giai đoạn  đến </t>
        </is>
      </c>
      <c r="B24" s="6" t="inlineStr">
        <is>
          <t xml:space="preserve">For the period from  to </t>
        </is>
      </c>
      <c r="C24" s="6">
        <f>C23</f>
        <v/>
      </c>
      <c r="D24" s="6">
        <f>D23</f>
        <v/>
      </c>
    </row>
    <row r="25" ht="41.4" customHeight="1">
      <c r="A25" s="6" t="inlineStr">
        <is>
          <t xml:space="preserve">cho giai đoạn </t>
        </is>
      </c>
      <c r="B25" s="6" t="inlineStr">
        <is>
          <t xml:space="preserve">for the period from  to </t>
        </is>
      </c>
      <c r="C25" s="6">
        <f>C23</f>
        <v/>
      </c>
      <c r="D25" s="6">
        <f>D23</f>
        <v/>
      </c>
    </row>
    <row r="26" ht="41.4" customHeight="1">
      <c r="A26" s="6" t="inlineStr">
        <is>
          <t xml:space="preserve">cho giai đoạn  đến </t>
        </is>
      </c>
      <c r="B26" s="6" t="inlineStr">
        <is>
          <t xml:space="preserve">for the period from  to </t>
        </is>
      </c>
      <c r="C26" s="6">
        <f>C25</f>
        <v/>
      </c>
      <c r="D26" s="6">
        <f>D25</f>
        <v/>
      </c>
    </row>
    <row r="27">
      <c r="A27" s="6" t="inlineStr">
        <is>
          <t>Ngày 31 tháng 03 năm 2026</t>
        </is>
      </c>
      <c r="B27" s="6" t="inlineStr">
        <is>
          <t>March 31, 2026</t>
        </is>
      </c>
      <c r="C27" s="6" t="inlineStr">
        <is>
          <t>2026年03月31日</t>
        </is>
      </c>
      <c r="D27" s="6" t="inlineStr">
        <is>
          <t>2026年03月31日</t>
        </is>
      </c>
    </row>
    <row r="28">
      <c r="A28" s="6" t="inlineStr">
        <is>
          <t>ngày 31 tháng 03 năm 2026</t>
        </is>
      </c>
      <c r="B28" s="6" t="inlineStr">
        <is>
          <t>March 31, 2026</t>
        </is>
      </c>
      <c r="C28" s="6" t="inlineStr">
        <is>
          <t>2026年03月31日</t>
        </is>
      </c>
      <c r="D28" s="6" t="inlineStr">
        <is>
          <t>2026年03月31日</t>
        </is>
      </c>
    </row>
    <row r="29">
      <c r="A29" s="6" t="inlineStr">
        <is>
          <t>[têncôngty]</t>
        </is>
      </c>
      <c r="B29" s="6" t="inlineStr">
        <is>
          <t>ZZZ Company</t>
        </is>
      </c>
      <c r="C29" s="6" t="inlineStr">
        <is>
          <t>ZZZ Company</t>
        </is>
      </c>
      <c r="D29" s="6" t="inlineStr">
        <is>
          <t>ZZZ Company</t>
        </is>
      </c>
    </row>
    <row r="30">
      <c r="A30" s="6" t="inlineStr">
        <is>
          <t>[ngàybáocáo]</t>
        </is>
      </c>
      <c r="B30" s="10" t="inlineStr">
        <is>
          <t>March 31, 2026</t>
        </is>
      </c>
      <c r="C30" s="10" t="inlineStr">
        <is>
          <t>2026年03月31日</t>
        </is>
      </c>
      <c r="D30" s="10" t="inlineStr">
        <is>
          <t>2026年03月31日</t>
        </is>
      </c>
    </row>
    <row r="31">
      <c r="A31" s="6" t="inlineStr">
        <is>
          <t>[nămbáocáo]</t>
        </is>
      </c>
      <c r="B31" s="6" t="inlineStr">
        <is>
          <t>2025</t>
        </is>
      </c>
      <c r="C31" s="6" t="inlineStr">
        <is>
          <t>2025</t>
        </is>
      </c>
      <c r="D31" s="6" t="inlineStr">
        <is>
          <t>2025</t>
        </is>
      </c>
    </row>
    <row r="32">
      <c r="A32" s="6" t="inlineStr">
        <is>
          <t>[ngàykếtthúcnăm]</t>
        </is>
      </c>
      <c r="B32" s="6" t="inlineStr">
        <is>
          <t>December 31, 2025</t>
        </is>
      </c>
      <c r="C32" s="6" t="inlineStr">
        <is>
          <t>2025年12月31日</t>
        </is>
      </c>
      <c r="D32" s="6" t="inlineStr">
        <is>
          <t>2025年12月31日</t>
        </is>
      </c>
    </row>
    <row r="33" ht="41.4" customHeight="1">
      <c r="A33" s="6" t="inlineStr">
        <is>
          <t>CHO NĂM TÀI CHÍNH KẾT THÚC NGÀY 31 THÁNG 12 NĂM 2025</t>
        </is>
      </c>
      <c r="B33" s="6" t="inlineStr">
        <is>
          <t>FOR THE YEAR ENDED DECEMBER 31, 2025</t>
        </is>
      </c>
      <c r="C33" s="6" t="inlineStr">
        <is>
          <t>截至2025年12月31日止财务年度</t>
        </is>
      </c>
      <c r="D33" s="6" t="inlineStr">
        <is>
          <t>截至2025年12月31日止財務年度</t>
        </is>
      </c>
    </row>
    <row r="34" ht="55.2" customHeight="1">
      <c r="A34" s="6" t="inlineStr">
        <is>
          <t xml:space="preserve">CHO GIAI ĐOẠN </t>
        </is>
      </c>
      <c r="B34" s="6" t="inlineStr">
        <is>
          <t xml:space="preserve">FOR THE PERIOD FROM  TO </t>
        </is>
      </c>
      <c r="C34" s="6">
        <f>C23</f>
        <v/>
      </c>
      <c r="D34" s="6">
        <f>D23</f>
        <v/>
      </c>
    </row>
    <row r="35" ht="41.4" customHeight="1">
      <c r="A35" s="6" t="inlineStr">
        <is>
          <t xml:space="preserve">CHO GIAI ĐOẠN </t>
        </is>
      </c>
      <c r="B35" s="6" t="inlineStr">
        <is>
          <t xml:space="preserve">FOR THE PERIOD FROM  TO </t>
        </is>
      </c>
      <c r="C35" s="6">
        <f>C34</f>
        <v/>
      </c>
      <c r="D35" s="6">
        <f>D34</f>
        <v/>
      </c>
    </row>
    <row r="36" ht="110.4" customHeight="1">
      <c r="A36" s="6" t="inlineStr">
        <is>
          <t>Công ty TNHH Kiểm toán U&amp;I đã kiểm toán Báo cáo tài chính cho năm tài chính kết thúc ngày 31 tháng 12 năm 2025 và bày tỏ nguyện vọng tiếp tục được bổ nhiệm làm kiểm toán viên cho Công ty.</t>
        </is>
      </c>
      <c r="B36" s="6" t="inlineStr">
        <is>
          <t>The auditors, U&amp;I Auditing Company Limited, have performed audit on the Company’s financial statements for the year ended December 31, 2025 and have expressed their willingness to accept reappointment.</t>
        </is>
      </c>
      <c r="C36" s="6">
        <f>"U&amp;I审计有限公司已经审计公司"&amp;$C$22&amp;"的财务报表，并表示期望能继续获委任为公司的会计师。"</f>
        <v/>
      </c>
      <c r="D36" s="6">
        <f>"U&amp;I審計有限公司業已查核公司"&amp;$D$22&amp;"之財務報表，並表示期望能繼續獲委任為公司會計師。"</f>
        <v/>
      </c>
    </row>
    <row r="37" ht="124.2" customHeight="1">
      <c r="A37" s="6" t="inlineStr">
        <is>
          <t>Công ty TNHH Kiểm toán U&amp;I đã kiểm toán Báo cáo tài chính cho giai đoạn từ ngày 04 tháng 11 năm 2025 đến ngày 31 tháng 12 năm 2025 và bày tỏ nguyện vọng tiếp tục được bổ nhiệm làm kiểm toán viên cho Công ty.</t>
        </is>
      </c>
      <c r="B37" s="6" t="inlineStr">
        <is>
          <t>The auditors, U&amp;I Auditing Company Limited, have performed audit on the Company’s financial statements for the period from  to  and have expressed their willingness to accept reappointment.</t>
        </is>
      </c>
      <c r="C37" s="6">
        <f>"U&amp;I审计有限公司已经审计公司"&amp;$C$25&amp;"的财务报表，并表示期望能继续获委任为公司的会计师。"</f>
        <v/>
      </c>
      <c r="D37" s="6">
        <f>"U&amp;I審計有限公司業已查核公司"&amp;$D$25&amp;"之財務報表，並表示期望能繼續獲委任為公司會計師。"</f>
        <v/>
      </c>
    </row>
    <row r="38" ht="110.4" customHeight="1">
      <c r="A38" s="6" t="inlineStr">
        <is>
          <t>Chi phí thuế thu nhập doanh nghiệp cho năm tài chính kết thúc ngày 31 tháng 12 năm 2025 được tính trên thu nhập tính thuế ước tính. Chi phí thuế thu nhập doanh nghiệp này sẽ được cơ quan thuế xác định lại thông qua các cuộc kiểm tra.</t>
        </is>
      </c>
      <c r="B38" s="6" t="inlineStr">
        <is>
          <t xml:space="preserve">Corporate income tax expense for the year ended December 31, 2025 is calculated on the estimated assessable income. Corporate income tax expense will be determined again by the tax authority through their tax reviews. </t>
        </is>
      </c>
      <c r="C38" s="6">
        <f>"截至"&amp;$C$13&amp;"止财务年度的企业所得税费用，在预估应纳税所得额基础上计算。企业所得税费用将由税务机关通过税务稽查重新核定。"</f>
        <v/>
      </c>
      <c r="D38" s="6">
        <f>"截至"&amp;$D$13&amp;"止財務年度之企業所得稅費用，在預估應納稅所得額基礎上計算。企業所得稅費用將由稅務機關通過稅務稽查重新核定。"</f>
        <v/>
      </c>
    </row>
    <row r="39" ht="124.2" customHeight="1">
      <c r="A39" s="6" t="inlineStr">
        <is>
          <t>Chi phí thuế thu nhập doanh nghiệp cho giai đoạn từ ngày 04 tháng 11 năm 2025 đến ngày 31 tháng 12 năm 2025 được tính trên thu nhập tính thuế ước tính. Chi phí thuế thu nhập doanh nghiệp này sẽ được cơ quan thuế xác định lại thông qua các cuộc kiểm tra.</t>
        </is>
      </c>
      <c r="B39" s="6" t="inlineStr">
        <is>
          <t xml:space="preserve">Corporate income tax expense for the period from  to  is calculated on the estimated assessable income. Corporate income tax expense will be determined again by the tax authority through their tax reviews. </t>
        </is>
      </c>
      <c r="C39" s="6">
        <f>$C$25&amp;"的企业所得税费用，在预估应纳税所得额基础上计算。企业所得税费用将由税务机关通过税务稽查重新核定。"</f>
        <v/>
      </c>
      <c r="D39" s="6">
        <f>$D$25&amp;"的企業所得稅費用，在預估應納稅所得額基礎上計算。企業所得稅費用將由稅務機關通過稅務稽查重新核定。"</f>
        <v/>
      </c>
    </row>
    <row r="40" ht="41.4" customHeight="1">
      <c r="A40" s="6" t="inlineStr">
        <is>
          <t>Do đó, không có chi phí thuế thu nhập doanh nghiệp hoãn lại được ghi nhận trong năm 2025.</t>
        </is>
      </c>
      <c r="B40" s="6" t="inlineStr">
        <is>
          <t>Therefore, no deferred corporate income tax expense is provided in the year 2025.</t>
        </is>
      </c>
      <c r="C40" s="6" t="inlineStr">
        <is>
          <t>据此，并无递延所得税费用在2025年度内得以认列。</t>
        </is>
      </c>
      <c r="D40" s="6" t="inlineStr">
        <is>
          <t>據此，並無遞延所得稅費用於2025年度內得以認列。</t>
        </is>
      </c>
    </row>
    <row r="41" ht="82.8" customHeight="1">
      <c r="A41" s="6" t="inlineStr">
        <is>
          <t>Do đó, không có chi phí thuế thu nhập doanh nghiệp hoãn lại được ghi nhận cho giai đoạn .</t>
        </is>
      </c>
      <c r="B41" s="6" t="inlineStr">
        <is>
          <t xml:space="preserve">Therefore, no deferred corporate income tax expense is provided in the period from  to </t>
        </is>
      </c>
      <c r="C41" s="6" t="inlineStr">
        <is>
          <t>据此，并无递延所得税费用至期间内得以认列。</t>
        </is>
      </c>
      <c r="D41" s="6" t="inlineStr">
        <is>
          <t>據此，並無遞延所得稅費用至期間內得以認列。</t>
        </is>
      </c>
    </row>
    <row r="42" ht="82.8" customHeight="1">
      <c r="A42" s="6" t="inlineStr">
        <is>
          <t>Do đó, không có chi phí thuế thu nhập doanh nghiệp hoãn lại được ghi nhận trong giai đoạn .</t>
        </is>
      </c>
      <c r="B42" s="6" t="inlineStr">
        <is>
          <t>Same as above</t>
        </is>
      </c>
      <c r="C42" s="6">
        <f>C41</f>
        <v/>
      </c>
      <c r="D42" s="6">
        <f>D41</f>
        <v/>
      </c>
    </row>
    <row r="43" ht="82.8" customHeight="1">
      <c r="A43" s="6" t="inlineStr">
        <is>
          <t>Trong năm tài chính kết thúc ngày 31 tháng 12 năm 2025, Công ty có các nghiệp vụ kinh tế quan trọng với các bên liên quan được trình bày ở bảng sau:</t>
        </is>
      </c>
      <c r="B43" s="6" t="inlineStr">
        <is>
          <t>In the year ended December 31, 2025, the Company entered into significant economic transactions with its related parties as shown in the following table:</t>
        </is>
      </c>
      <c r="C43" s="6" t="inlineStr">
        <is>
          <t>在截止2025年12月31日财务年度之内，公司与其关联方发生重大经济交易，其列示在下表：</t>
        </is>
      </c>
      <c r="D43" s="6" t="inlineStr">
        <is>
          <t>在截止2025年12月31日財務年度之內，公司與其關聯方發生重大經濟交易，其列示於下表：</t>
        </is>
      </c>
    </row>
    <row r="44" ht="96.59999999999999" customHeight="1">
      <c r="A44" s="6" t="inlineStr">
        <is>
          <t>Trong giai đoạn từ ngày 04 tháng 11 năm 2025 đến ngày 31 tháng 12 năm 2025, Công ty có các nghiệp vụ kinh tế quan trọng với các bên liên quan được trình bày ở bảng sau:</t>
        </is>
      </c>
      <c r="B44" s="6" t="inlineStr">
        <is>
          <t>In the period from  to , the Company entered into significant economic transactions with its related parties as shown in the following table:</t>
        </is>
      </c>
      <c r="C44" s="6">
        <f>$C$16&amp;"期间，公司与其关联方发生重大经济交易，其列示在下表："</f>
        <v/>
      </c>
      <c r="D44" s="6">
        <f>$D$16&amp;"期間，公司與其關聯方發生重大經濟交易，其列示於下表："</f>
        <v/>
      </c>
    </row>
    <row r="45" ht="82.8" customHeight="1">
      <c r="A45" s="6" t="inlineStr">
        <is>
          <t>Trong năm tài chính kết thúc ngày 31 tháng 12 năm 2025, Công ty có các nghiệp vụ kinh tế quan trọng và các khoản phải thu, phải trả với các bên liên quan được trình bày ở bảng sau</t>
        </is>
      </c>
      <c r="B45" s="6" t="inlineStr">
        <is>
          <t>In the year ended December 31, 2025, the Company entered into significant economic transactions, receivables and payables with its related parties as shown in the following table</t>
        </is>
      </c>
      <c r="C45" s="6">
        <f>"在截止"&amp;$C$13&amp;"财务年度之内，公司与其关联方发生重大经济交易和各项应收、应付帐款，其列示在下表："</f>
        <v/>
      </c>
      <c r="D45" s="6">
        <f>"在截止"&amp;$D$13&amp;"財務年度之內，公司與其關聯方發生重大經濟交易和各項應收、應付帳款，其列示於下表："</f>
        <v/>
      </c>
    </row>
    <row r="46" ht="96.59999999999999" customHeight="1">
      <c r="A46" s="6" t="inlineStr">
        <is>
          <t>Trong giai đoạn từ ngày 04 tháng 11 năm 2025 đến ngày 31 tháng 12 năm 2025, Công ty có các nghiệp vụ kinh tế quan trọng và các khoản phải thu, phải trả với các bên liên quan được trình bày ở bảng sau:</t>
        </is>
      </c>
      <c r="B46" s="6" t="inlineStr">
        <is>
          <t>In the period from  to , the Company entered into significant economic transactions, receivables and payables with its related parties as shown in the following table</t>
        </is>
      </c>
      <c r="C46" s="6">
        <f>$C$16&amp;"期间，公司与其关联方发生重大经济交易和各项应收、应付帐款，其列示在下表："</f>
        <v/>
      </c>
      <c r="D46" s="6">
        <f>$D$16&amp;"期間，公司與其關聯方發生重大經濟交易和各項應收、應付帳款，其列示在下表："</f>
        <v/>
      </c>
    </row>
    <row r="47" ht="69" customHeight="1">
      <c r="A47" s="6" t="inlineStr">
        <is>
          <t>Trong năm tài chính kết thúc ngày 31 tháng 12 năm 2025, Công ty không phát sinh các nghiệp vụ kinh tế quan trọng với các bên liên quan.</t>
        </is>
      </c>
      <c r="B47" s="6" t="inlineStr">
        <is>
          <t>In the year ended December 31, 2025, the Company had no significant economic transactions with its related parties.</t>
        </is>
      </c>
      <c r="C47" s="6">
        <f>"在截止"&amp;$C$13&amp;"财务年度之内，公司与其关联方不发生重大经济交易。"</f>
        <v/>
      </c>
      <c r="D47" s="6">
        <f>"在截止"&amp;$D$13&amp;"財務年度之內，公司與其關聯方不發生重大經濟交易。"</f>
        <v/>
      </c>
    </row>
    <row r="48" ht="82.8" customHeight="1">
      <c r="A48" s="6" t="inlineStr">
        <is>
          <t>Trong giai đoạn từ ngày 04 tháng 11 năm 2025 đến ngày 31 tháng 12 năm 2025, Công ty không phát sinh các nghiệp vụ kinh tế quan trọng với các bên liên quan.</t>
        </is>
      </c>
      <c r="B48" s="6" t="inlineStr">
        <is>
          <t>In the period from  to , the Company had no significant economic transactions with its related parties.</t>
        </is>
      </c>
      <c r="C48" s="6">
        <f>$C$16&amp;"期间，公司与其关联方不发生重大经济交易。"</f>
        <v/>
      </c>
      <c r="D48" s="6">
        <f>$D$16&amp;"期間，公司與其關聯方不發生重大經濟交易。"</f>
        <v/>
      </c>
    </row>
    <row r="49" ht="55.2" customHeight="1">
      <c r="A49" s="6" t="inlineStr">
        <is>
          <t>Báo cáo tài chính được phê duyệt bởi Tổng Giám đốc Công ty để phát hành vào ngày 31 tháng 03 năm 2026.</t>
        </is>
      </c>
      <c r="B49" s="6">
        <f>"The financial statements were approved by General Director of the Company for issue on "&amp;$B$27&amp;"."</f>
        <v/>
      </c>
      <c r="C49" s="6">
        <f>"本财务报表经由公司总经理批阅并在"&amp;$C$27&amp;"正式出具。"</f>
        <v/>
      </c>
      <c r="D49" s="6">
        <f>"本財務報表業經公司總經理批閱並於"&amp;$D$27&amp;"正式出具。"</f>
        <v/>
      </c>
    </row>
    <row r="50" ht="55.2" customHeight="1">
      <c r="A50" s="6" t="inlineStr">
        <is>
          <t>Báo cáo tài chính được phê duyệt bởi Ban Giám đốc Công ty để phát hành vào ngày 31 tháng 03 năm 2026.</t>
        </is>
      </c>
      <c r="B50" s="6">
        <f>"The financial statements were approved by the Board of Management of the Company for issue on "&amp;$B$27&amp;"."</f>
        <v/>
      </c>
      <c r="C50" s="6">
        <f>"本财务报表经由公司管理阶层批阅并在"&amp;$C$27&amp;"正式出具。"</f>
        <v/>
      </c>
      <c r="D50" s="6">
        <f>"本財務報表業經公司管理階層批閱並於"&amp;$D$27&amp;"正式出具。"</f>
        <v/>
      </c>
    </row>
    <row r="51" ht="69" customHeight="1">
      <c r="A51" s="6" t="inlineStr">
        <is>
          <t>Báo cáo tài chính được phê duyệt bởi Hội đồng Thành viên và Ban Giám đốc Công ty để phát hành vào ngày 31 tháng 03 năm 2026.</t>
        </is>
      </c>
      <c r="B51" s="6">
        <f>"The financial statements were approved by the Board of Members and the Board of Management of the Company for issue on "&amp;$B$27&amp;"."</f>
        <v/>
      </c>
      <c r="C51" s="6">
        <f>"本财务报表经由公司董事会及管理阶层批阅并在"&amp;$C$27&amp;"正式出具。"</f>
        <v/>
      </c>
      <c r="D51" s="6">
        <f>"本財務報表業經公司董事會及管理階層批閱並於"&amp;$D$27&amp;"正式出具。"</f>
        <v/>
      </c>
    </row>
    <row r="52" ht="55.2" customHeight="1">
      <c r="A52" s="6" t="inlineStr">
        <is>
          <t>Báo cáo tài chính được phê duyệt bởi Giám đốc điều hành Công ty để phát hành vào ngày 31 tháng 03 năm 2026.</t>
        </is>
      </c>
      <c r="B52" s="6">
        <f>"The financial statements were approved by Managing Director of the Company for issue on "&amp;$B$27&amp;"."</f>
        <v/>
      </c>
      <c r="C52" s="6">
        <f>"本财务报表经由公司执行总监批阅并在"&amp;$C$27&amp;"正式出具。"</f>
        <v/>
      </c>
      <c r="D52" s="6">
        <f>"本財務報表業經公司執行總監批閱並於"&amp;$D$27&amp;"正式出具。"</f>
        <v/>
      </c>
    </row>
    <row r="53" ht="69" customHeight="1">
      <c r="A53" s="6" t="inlineStr">
        <is>
          <t>Báo cáo tài chính được phê duyệt bởi Ban Tổng Giám đốc Công ty để phát hành vào ngày 31 tháng 03 năm 2026.</t>
        </is>
      </c>
      <c r="B53" s="6">
        <f>"The financial statements were approved by the Board of General Directors of the Company for issue on "&amp;$B$27&amp;"."</f>
        <v/>
      </c>
      <c r="C53" s="13">
        <f>"本财务报表经由公司管理阶层批阅并在"&amp;$C$27&amp;"正式出具。"</f>
        <v/>
      </c>
      <c r="D53" s="13">
        <f>"本財務報表業經公司管理階層批閱並於"&amp;$D$27&amp;"正式出具。"</f>
        <v/>
      </c>
    </row>
    <row r="54" ht="55.2" customHeight="1">
      <c r="A54" s="6" t="inlineStr">
        <is>
          <t>Báo cáo tài chính được phê duyệt bởi Hội đồng Thành viên Công ty để phát hành vào ngày 31 tháng 03 năm 2026.</t>
        </is>
      </c>
      <c r="B54" s="6">
        <f>"The financial statements were approved by the Board of Members of the Company for issue on "&amp;$B$27&amp;"."</f>
        <v/>
      </c>
      <c r="C54" s="6">
        <f>"本财务报表经由公司董事会批阅并在"&amp;$C$27&amp;"正式出具。"</f>
        <v/>
      </c>
      <c r="D54" s="6">
        <f>"本財務報表業經公司董事會批閱並於"&amp;$D$27&amp;"正式出具。"</f>
        <v/>
      </c>
    </row>
    <row r="55" ht="55.2" customHeight="1">
      <c r="A55" s="6" t="inlineStr">
        <is>
          <t>Báo cáo tài chính được phê duyệt bởi Giám đốc Công ty để phát hành vào ngày 31 tháng 03 năm 2026.</t>
        </is>
      </c>
      <c r="B55" s="6">
        <f>"The financial statements were approved by Director of the Company for issue on "&amp;$B$27&amp;"."</f>
        <v/>
      </c>
      <c r="C55" s="6">
        <f>"本财务报表经由公司经理批阅并在"&amp;$C$27&amp;"正式出具。"</f>
        <v/>
      </c>
      <c r="D55" s="6">
        <f>"本財務報表業經公司經理批閱並於"&amp;$D$27&amp;"正式出具。"</f>
        <v/>
      </c>
    </row>
    <row r="56" ht="55.2" customHeight="1">
      <c r="A56" s="6" t="inlineStr">
        <is>
          <t>Báo cáo tài chính được phê duyệt bởi Chủ tịch Công ty để phát hành vào ngày 31 tháng 03 năm 2026.</t>
        </is>
      </c>
      <c r="B56" s="6">
        <f>"The financial statements were approved by Chairman of the Company for issue on "&amp;$B$27&amp;"."</f>
        <v/>
      </c>
      <c r="C56" s="6">
        <f>"本财务报表经由公司董事长批阅且在"&amp;C$27&amp;"正式出具。"</f>
        <v/>
      </c>
      <c r="D56" s="6">
        <f>"本財務報表業經公司董事長批閱並於"&amp;$D$27&amp;"正式出具。"</f>
        <v/>
      </c>
    </row>
    <row r="57" ht="103.8" customHeight="1">
      <c r="A57" s="6" t="inlineStr">
        <is>
          <t>Báo cáo tài chính được phê duyệt bởi Hội đồng Quản trị Công ty để phát hành vào ngày 31 tháng 03 năm 2026.</t>
        </is>
      </c>
      <c r="B57" s="6">
        <f>"The financial statements were approved by the Board of Directors of the Company for issue on "&amp;$B$27&amp;"."</f>
        <v/>
      </c>
      <c r="C57" s="6">
        <f>"本财务报表经由公司董事会批阅并在"&amp;C$27&amp;"正式出具。"</f>
        <v/>
      </c>
      <c r="D57" s="6">
        <f>"本財務報表業經公司董事會批閱並於"&amp;$D$27&amp;"正式出具。"</f>
        <v/>
      </c>
    </row>
    <row r="58" ht="103.8" customHeight="1">
      <c r="A58" s="6" t="inlineStr">
        <is>
          <t>Báo cáo tài chính được phê duyệt bởi Chủ sở hữu Công ty để phát hành vào ngày 31 tháng 03 năm 2026.</t>
        </is>
      </c>
      <c r="B58" s="6">
        <f>"The financial statements were approved by Owner of the Company for issue on "&amp;$B$27&amp;"."</f>
        <v/>
      </c>
      <c r="C58" s="6">
        <f>"本财务报表经由公司所有者批阅并在"&amp;C27&amp;"正式出具。"</f>
        <v/>
      </c>
      <c r="D58" s="6">
        <f>"本財務報表業經公司所有者批閱並於"&amp;D27&amp;"正式出具。"</f>
        <v/>
      </c>
    </row>
    <row r="59" ht="103.8" customHeight="1">
      <c r="A59" s="6" t="inlineStr">
        <is>
          <t>Công ty không lập dự phòng chi phí thuế thu nhập doanh nghiệp hiện hành vì Công ty không có thu nhập chịu thuế trong năm 2025.</t>
        </is>
      </c>
      <c r="B59" s="6" t="inlineStr">
        <is>
          <t>No provision for current corporate income tax expense has been provided as the Company has no taxable income arising in the year 2025.</t>
        </is>
      </c>
      <c r="C59" s="6">
        <f>"由于公司在"&amp;YEAR($C$1)&amp;"年度内无课税所得，所以公司不预提当期企业所得税费用。"</f>
        <v/>
      </c>
      <c r="D59" s="6">
        <f>"由於公司於"&amp;YEAR($C$1)&amp;"年度內無課稅所得，所以公司不預提當期企業所得稅費用。"</f>
        <v/>
      </c>
    </row>
    <row r="60" ht="96.59999999999999" customHeight="1">
      <c r="A60" s="6" t="inlineStr">
        <is>
          <t>Công ty không lập dự phòng chi phí thuế thu nhập doanh nghiệp hiện hành vì Công ty không có thu nhập chịu thuế cho giai đoạn .</t>
        </is>
      </c>
      <c r="B60" s="6" t="inlineStr">
        <is>
          <t xml:space="preserve">No provision for current corporate income tax expense has been provided as the Company has no taxable income arising in the period from  to </t>
        </is>
      </c>
      <c r="C60" s="6">
        <f>"由于公司"&amp;$C$16&amp;"期间无课税所得，所以公司不预提当期企业所得税费用。"</f>
        <v/>
      </c>
      <c r="D60" s="6">
        <f>"由於公司"&amp;$D$16&amp;"期間無課稅所得，所以公司不預提當期企業所得稅費用。"</f>
        <v/>
      </c>
    </row>
    <row r="61" ht="96.59999999999999" customHeight="1">
      <c r="A61" s="6" t="inlineStr">
        <is>
          <t>Công ty không lập dự phòng chi phí thuế thu nhập doanh nghiệp hiện hành vì Công ty không có thu nhập chịu thuế trong giai đoạn .</t>
        </is>
      </c>
      <c r="B61" s="6" t="inlineStr">
        <is>
          <t>Same as above</t>
        </is>
      </c>
      <c r="C61" s="6">
        <f>C60</f>
        <v/>
      </c>
      <c r="D61" s="6">
        <f>D60</f>
        <v/>
      </c>
    </row>
    <row r="62" ht="96.59999999999999" customHeight="1">
      <c r="A62" s="6" t="inlineStr">
        <is>
          <t>Công ty không lập dự phòng chi phí thuế thu nhập doanh nghiệp hiện hành vì Công ty không có thu nhập tính thuế sau khi trừ chuyển lỗ trong năm 2025.</t>
        </is>
      </c>
      <c r="B62" s="6" t="inlineStr">
        <is>
          <t>No provision for current corporate income tax expense has been provided as the Company has no assessable income after deducting tax loss brought forward in the year 2025.</t>
        </is>
      </c>
      <c r="C62" s="6" t="inlineStr">
        <is>
          <t>由于公司于[nămbáocáo]年度经累计亏损抵减后无应纳税所得，所以公司不预提当期企业所得税费用。</t>
        </is>
      </c>
      <c r="D62" s="6" t="inlineStr">
        <is>
          <t>由於公司於[nămbáocáo]年度經累計虧損抵減後無應納稅所得，所以公司不預提當期企業所得稅費用。</t>
        </is>
      </c>
    </row>
    <row r="63" ht="110.4" customHeight="1">
      <c r="A63" s="6" t="inlineStr">
        <is>
          <t>Công ty không lập dự phòng chi phí thuế thu nhập doanh nghiệp hiện hành vì Công ty không có thu nhập tính thuế sau khi trừ chuyển lỗ cho giai đoạn .</t>
        </is>
      </c>
      <c r="B63" s="6" t="inlineStr">
        <is>
          <t xml:space="preserve">No provision for current corporate income tax expense has been provided as the Company has no assessable income after deducting tax loss brought forward in the period from  to </t>
        </is>
      </c>
      <c r="C63" s="6">
        <f>"由于公司"&amp;$C$16&amp;"期间，经累计亏损抵减后无应纳税所得，所以公司不预提当期企业所得税费用。"</f>
        <v/>
      </c>
      <c r="D63" s="6">
        <f>"由於公司"&amp;$D$16&amp;"期間，經累計虧損抵減後無應納稅所得，所以公司不預提當期企業所得稅費用。"</f>
        <v/>
      </c>
    </row>
    <row r="64" ht="55.2" customHeight="1">
      <c r="A64" s="6" t="inlineStr">
        <is>
          <t>Đến ngày 31 tháng 12 năm 2025, Công ty vẫn chưa tiến hành hoạt động sản xuất kinh doanh.</t>
        </is>
      </c>
      <c r="B64" s="6" t="inlineStr">
        <is>
          <t>As at December 31, 2025, the Company’s operation has yet to start.</t>
        </is>
      </c>
      <c r="C64" s="6">
        <f>"截至"&amp;C14&amp;"，公司尚未开始营运生产活动。"</f>
        <v/>
      </c>
      <c r="D64" s="6">
        <f>"截至"&amp;D14&amp;"，公司尚未開始營運生產活動。"</f>
        <v/>
      </c>
    </row>
    <row r="65">
      <c r="A65" s="6" t="inlineStr">
        <is>
          <t>Phạm Nguyễn Trường Sơn</t>
        </is>
      </c>
      <c r="B65" s="6" t="inlineStr">
        <is>
          <t>Pham Nguyen Truong Son</t>
        </is>
      </c>
      <c r="C65" s="6" t="inlineStr">
        <is>
          <t>Pham Nguyen Truong Son</t>
        </is>
      </c>
      <c r="D65" s="6" t="inlineStr">
        <is>
          <t>Pham Nguyen Truong Son</t>
        </is>
      </c>
    </row>
    <row r="66">
      <c r="A66" s="6" t="inlineStr">
        <is>
          <t>Lê Hoài Phương</t>
        </is>
      </c>
      <c r="B66" s="6" t="inlineStr">
        <is>
          <t>Le Hoai Phuong</t>
        </is>
      </c>
      <c r="C66" s="6" t="inlineStr">
        <is>
          <t>Le Hoai Phuong</t>
        </is>
      </c>
      <c r="D66" s="6" t="inlineStr">
        <is>
          <t>Le Hoai Phuong</t>
        </is>
      </c>
    </row>
    <row r="67">
      <c r="A67" s="6" t="inlineStr">
        <is>
          <t>Hồ Mành Cón</t>
        </is>
      </c>
      <c r="B67" s="6" t="inlineStr">
        <is>
          <t>Ho Manh Con</t>
        </is>
      </c>
      <c r="C67" s="6" t="inlineStr">
        <is>
          <t>Ho Manh Con</t>
        </is>
      </c>
      <c r="D67" s="6" t="inlineStr">
        <is>
          <t>Ho Manh Con</t>
        </is>
      </c>
    </row>
    <row r="68">
      <c r="A68" s="6" t="inlineStr">
        <is>
          <t>Dương Thu Trang</t>
        </is>
      </c>
      <c r="B68" s="6" t="inlineStr">
        <is>
          <t>Duong Thu Trang</t>
        </is>
      </c>
      <c r="C68" s="6" t="inlineStr">
        <is>
          <t>Duong Thu Trang</t>
        </is>
      </c>
      <c r="D68" s="6" t="inlineStr">
        <is>
          <t>Duong Thu Trang</t>
        </is>
      </c>
    </row>
    <row r="69" customFormat="1" s="8">
      <c r="A69" s="6" t="inlineStr">
        <is>
          <t>Phạm Thị Minh Thu</t>
        </is>
      </c>
      <c r="B69" s="6" t="inlineStr">
        <is>
          <t>Pham Thi Minh Thu</t>
        </is>
      </c>
      <c r="C69" s="6" t="inlineStr">
        <is>
          <t>Pham Thi Minh Thu</t>
        </is>
      </c>
      <c r="D69" s="6" t="inlineStr">
        <is>
          <t>Pham Thi Minh Thu</t>
        </is>
      </c>
    </row>
    <row r="70" customFormat="1" s="8">
      <c r="A70" s="6" t="inlineStr">
        <is>
          <t>Nguyễn Thị Thùy Uyễn</t>
        </is>
      </c>
      <c r="B70" s="6" t="inlineStr">
        <is>
          <t>Nguyen Thi Thuy Uyen</t>
        </is>
      </c>
      <c r="C70" s="6" t="inlineStr">
        <is>
          <t>Nguyen Thi Thuy Uyen</t>
        </is>
      </c>
      <c r="D70" s="6" t="inlineStr">
        <is>
          <t>Nguyen Thi Thuy Uyen</t>
        </is>
      </c>
    </row>
    <row r="71" customFormat="1" s="8">
      <c r="A71" s="6" t="inlineStr">
        <is>
          <t>Lê Mậu Phương</t>
        </is>
      </c>
      <c r="B71" s="6" t="inlineStr">
        <is>
          <t>Le Mau Phuong</t>
        </is>
      </c>
      <c r="C71" s="6" t="inlineStr">
        <is>
          <t>Le Mau Phuong</t>
        </is>
      </c>
      <c r="D71" s="6" t="inlineStr">
        <is>
          <t>Le Mau Phuong</t>
        </is>
      </c>
    </row>
    <row r="72" customFormat="1" s="8">
      <c r="A72" s="6" t="inlineStr">
        <is>
          <t>Trần Thùy Dương</t>
        </is>
      </c>
      <c r="B72" s="6" t="inlineStr">
        <is>
          <t>Tran Thuy Duong</t>
        </is>
      </c>
      <c r="C72" s="6" t="inlineStr">
        <is>
          <t>Tran Thuy Duong</t>
        </is>
      </c>
      <c r="D72" s="6" t="inlineStr">
        <is>
          <t>Tran Thuy Duong</t>
        </is>
      </c>
    </row>
    <row r="73" customFormat="1" s="8">
      <c r="A73" s="6" t="inlineStr">
        <is>
          <t>Trương Phúc Khải</t>
        </is>
      </c>
      <c r="B73" s="6" t="inlineStr">
        <is>
          <t>Truong Phuc Khai</t>
        </is>
      </c>
      <c r="C73" s="6" t="inlineStr">
        <is>
          <t>Truong Phuc Khai</t>
        </is>
      </c>
      <c r="D73" s="6" t="inlineStr">
        <is>
          <t>Truong Phuc Khai</t>
        </is>
      </c>
    </row>
    <row r="74" customFormat="1" s="8">
      <c r="A74" s="6" t="inlineStr">
        <is>
          <t>Nguyễn Thị Thùy Linh</t>
        </is>
      </c>
      <c r="B74" s="6" t="inlineStr">
        <is>
          <t>Nguyen Thi Thuy Linh</t>
        </is>
      </c>
      <c r="C74" s="6" t="inlineStr">
        <is>
          <t>Nguyen Thi Thuy Linh</t>
        </is>
      </c>
      <c r="D74" s="6" t="inlineStr">
        <is>
          <t>Nguyen Thi Thuy Linh</t>
        </is>
      </c>
    </row>
    <row r="75" customFormat="1" s="8">
      <c r="A75" s="6" t="inlineStr">
        <is>
          <t>Tạ Thị Minh Hòa</t>
        </is>
      </c>
      <c r="B75" s="6" t="inlineStr">
        <is>
          <t>Ta Thi Minh Hoa</t>
        </is>
      </c>
      <c r="C75" s="6" t="inlineStr">
        <is>
          <t>Ta Thi Minh Hoa</t>
        </is>
      </c>
      <c r="D75" s="6" t="inlineStr">
        <is>
          <t>Ta Thi Minh Hoa</t>
        </is>
      </c>
    </row>
    <row r="76" customFormat="1" s="8">
      <c r="A76" s="6" t="inlineStr">
        <is>
          <t>Phạm Minh Tân</t>
        </is>
      </c>
      <c r="B76" s="6" t="inlineStr">
        <is>
          <t>Pham Minh Tan</t>
        </is>
      </c>
      <c r="C76" s="6" t="inlineStr">
        <is>
          <t>Pham Minh Tan</t>
        </is>
      </c>
      <c r="D76" s="6" t="inlineStr">
        <is>
          <t>Pham Minh Tan</t>
        </is>
      </c>
    </row>
    <row r="77" customFormat="1" s="8">
      <c r="A77" s="6" t="inlineStr">
        <is>
          <t>Lê Anh Tuấn</t>
        </is>
      </c>
      <c r="B77" s="6" t="inlineStr">
        <is>
          <t>Le Anh Tuan</t>
        </is>
      </c>
      <c r="C77" s="6" t="inlineStr">
        <is>
          <t>Le Anh Tuan</t>
        </is>
      </c>
      <c r="D77" s="6" t="inlineStr">
        <is>
          <t>Le Anh Tuan</t>
        </is>
      </c>
    </row>
    <row r="78" customFormat="1" s="8">
      <c r="A78" s="6" t="inlineStr">
        <is>
          <t>Võ Lê Anh Quốc</t>
        </is>
      </c>
      <c r="B78" s="6" t="inlineStr">
        <is>
          <t>Vo Le Anh Quoc</t>
        </is>
      </c>
      <c r="C78" s="6" t="inlineStr">
        <is>
          <t>Vo Le Anh Quoc</t>
        </is>
      </c>
      <c r="D78" s="6" t="inlineStr">
        <is>
          <t>Vo Le Anh Quoc</t>
        </is>
      </c>
    </row>
    <row r="79" customFormat="1" s="8">
      <c r="A79" s="6" t="inlineStr">
        <is>
          <t>Lê Văn Giáp</t>
        </is>
      </c>
      <c r="B79" s="6" t="inlineStr">
        <is>
          <t>Le Van Giap</t>
        </is>
      </c>
      <c r="C79" s="6" t="inlineStr">
        <is>
          <t>Le Van Giap</t>
        </is>
      </c>
      <c r="D79" s="6" t="inlineStr">
        <is>
          <t>Le Van Giap</t>
        </is>
      </c>
    </row>
    <row r="80" customFormat="1" s="8">
      <c r="A80" s="6" t="inlineStr">
        <is>
          <t>Kha Bảo Hân</t>
        </is>
      </c>
      <c r="B80" s="6" t="inlineStr">
        <is>
          <t>Kha Bao Han</t>
        </is>
      </c>
      <c r="C80" s="6" t="inlineStr">
        <is>
          <t>Kha Bao Han</t>
        </is>
      </c>
      <c r="D80" s="6" t="inlineStr">
        <is>
          <t>Kha Bao Han</t>
        </is>
      </c>
    </row>
    <row r="81" customFormat="1" s="8">
      <c r="A81" s="6" t="inlineStr">
        <is>
          <t>Trương Thanh Giảng</t>
        </is>
      </c>
      <c r="B81" s="6" t="inlineStr">
        <is>
          <t>Truong Thanh Giang</t>
        </is>
      </c>
      <c r="C81" s="6" t="inlineStr">
        <is>
          <t>Truong Thanh Giang</t>
        </is>
      </c>
      <c r="D81" s="6" t="inlineStr">
        <is>
          <t>Truong Thanh Giang</t>
        </is>
      </c>
    </row>
    <row r="82" customFormat="1" s="8">
      <c r="A82" s="6" t="inlineStr">
        <is>
          <t>Trần Thúy Hằng</t>
        </is>
      </c>
      <c r="B82" s="6" t="inlineStr">
        <is>
          <t>Tran Thuy Hang</t>
        </is>
      </c>
      <c r="C82" s="6" t="inlineStr">
        <is>
          <t>Tran Thuy Hang</t>
        </is>
      </c>
      <c r="D82" s="6" t="inlineStr">
        <is>
          <t>Tran Thuy Hang</t>
        </is>
      </c>
    </row>
    <row r="83" customFormat="1" s="8">
      <c r="A83" s="6" t="inlineStr">
        <is>
          <t>Lê Thị Ngọc Thúy</t>
        </is>
      </c>
      <c r="B83" s="6" t="inlineStr">
        <is>
          <t>Le Thi Ngoc Thuy</t>
        </is>
      </c>
      <c r="C83" s="6" t="inlineStr">
        <is>
          <t>Le Thi Ngoc Thuy</t>
        </is>
      </c>
      <c r="D83" s="6" t="inlineStr">
        <is>
          <t>Le Thi Ngoc Thuy</t>
        </is>
      </c>
    </row>
    <row r="84" customFormat="1" s="8">
      <c r="A84" s="6" t="inlineStr">
        <is>
          <t>Lê Thị Thê</t>
        </is>
      </c>
      <c r="B84" s="6" t="inlineStr">
        <is>
          <t>Le Thi The</t>
        </is>
      </c>
      <c r="C84" s="6" t="inlineStr">
        <is>
          <t>Le Thi The</t>
        </is>
      </c>
      <c r="D84" s="6" t="inlineStr">
        <is>
          <t>Le Thi The</t>
        </is>
      </c>
    </row>
    <row r="85" customFormat="1" s="8">
      <c r="A85" s="6" t="inlineStr">
        <is>
          <t>Lê Hữu Thắng</t>
        </is>
      </c>
      <c r="B85" s="6" t="inlineStr">
        <is>
          <t>Le Huu Thang</t>
        </is>
      </c>
      <c r="C85" s="6" t="inlineStr">
        <is>
          <t>Le Huu Thang</t>
        </is>
      </c>
      <c r="D85" s="6" t="inlineStr">
        <is>
          <t>Le Huu Thang</t>
        </is>
      </c>
    </row>
    <row r="86" customFormat="1" s="8">
      <c r="A86" s="6" t="inlineStr">
        <is>
          <t>Nguyễn Thị Trà My</t>
        </is>
      </c>
      <c r="B86" s="6" t="inlineStr">
        <is>
          <t>Nguyen Thi Tra My</t>
        </is>
      </c>
      <c r="C86" s="6" t="inlineStr">
        <is>
          <t>Nguyen Thi Tra My</t>
        </is>
      </c>
      <c r="D86" s="6" t="inlineStr">
        <is>
          <t>Nguyen Thi Tra My</t>
        </is>
      </c>
    </row>
    <row r="87" customFormat="1" s="8">
      <c r="A87" s="6" t="inlineStr">
        <is>
          <t>Phạm Thị Thanh Thư</t>
        </is>
      </c>
      <c r="B87" s="6" t="inlineStr">
        <is>
          <t>Pham Thi Thanh Thu</t>
        </is>
      </c>
      <c r="C87" s="6" t="inlineStr">
        <is>
          <t>Pham Thi Thanh Thu</t>
        </is>
      </c>
      <c r="D87" s="6" t="inlineStr">
        <is>
          <t>Pham Thi Thanh Thu</t>
        </is>
      </c>
    </row>
    <row r="88" customFormat="1" s="8">
      <c r="A88" s="6" t="inlineStr">
        <is>
          <t>Nguyễn Thị Kim Linh</t>
        </is>
      </c>
      <c r="B88" s="6" t="inlineStr">
        <is>
          <t>Nguyen Thi Kim Linh</t>
        </is>
      </c>
      <c r="C88" s="6" t="inlineStr">
        <is>
          <t>Nguyen Thi Kim Linh</t>
        </is>
      </c>
      <c r="D88" s="6" t="inlineStr">
        <is>
          <t>Nguyen Thi Kim Linh</t>
        </is>
      </c>
    </row>
    <row r="89" customFormat="1" s="8">
      <c r="A89" s="6" t="inlineStr">
        <is>
          <t>Nguyễn Ngọc Khánh</t>
        </is>
      </c>
      <c r="B89" s="6" t="inlineStr">
        <is>
          <t>Nguyen Ngoc Khanh</t>
        </is>
      </c>
      <c r="C89" s="6" t="inlineStr">
        <is>
          <t>Nguyen Ngoc Khanh</t>
        </is>
      </c>
      <c r="D89" s="6" t="inlineStr">
        <is>
          <t>Nguyen Ngoc Khanh</t>
        </is>
      </c>
    </row>
    <row r="90" customFormat="1" s="8">
      <c r="A90" s="6" t="inlineStr">
        <is>
          <t>Nguyễn Thị Mỹ Linh</t>
        </is>
      </c>
      <c r="B90" s="6" t="inlineStr">
        <is>
          <t>Nguyen Thi My Linh</t>
        </is>
      </c>
      <c r="C90" s="6" t="inlineStr">
        <is>
          <t>Nguyen Thi My Linh</t>
        </is>
      </c>
      <c r="D90" s="6" t="inlineStr">
        <is>
          <t>Nguyen Thi My Linh</t>
        </is>
      </c>
    </row>
    <row r="91" customFormat="1" s="8">
      <c r="A91" s="6" t="inlineStr">
        <is>
          <t>Trần Hồng Hạnh</t>
        </is>
      </c>
      <c r="B91" s="6" t="inlineStr">
        <is>
          <t>Tran Hong Hanh</t>
        </is>
      </c>
      <c r="C91" s="6" t="inlineStr">
        <is>
          <t>Tran Hong Hanh</t>
        </is>
      </c>
      <c r="D91" s="6" t="inlineStr">
        <is>
          <t>Tran Hong Hanh</t>
        </is>
      </c>
    </row>
    <row r="92" customFormat="1" s="8">
      <c r="A92" s="6" t="inlineStr">
        <is>
          <t>Lê Trung Hải</t>
        </is>
      </c>
      <c r="B92" s="6" t="inlineStr">
        <is>
          <t>Le Trung Hai</t>
        </is>
      </c>
      <c r="C92" s="6" t="inlineStr">
        <is>
          <t>Le Trung Hai</t>
        </is>
      </c>
      <c r="D92" s="6" t="inlineStr">
        <is>
          <t>Le Trung Hai</t>
        </is>
      </c>
    </row>
    <row r="93" customFormat="1" s="8">
      <c r="A93" s="6" t="inlineStr">
        <is>
          <t>Trần Thị Thuỷ Tiên</t>
        </is>
      </c>
      <c r="B93" s="6" t="inlineStr">
        <is>
          <t>Tran Thi Thuy Tien</t>
        </is>
      </c>
      <c r="C93" s="6" t="inlineStr">
        <is>
          <t>Tran Thi Thuy Tien</t>
        </is>
      </c>
      <c r="D93" s="6" t="inlineStr">
        <is>
          <t>Tran Thi Thuy Tien</t>
        </is>
      </c>
    </row>
    <row r="94" customFormat="1" s="8">
      <c r="A94" s="6" t="inlineStr">
        <is>
          <t>Trần Thị Thúy Hằng</t>
        </is>
      </c>
      <c r="B94" s="6" t="inlineStr">
        <is>
          <t>Tran Thi Thuy Hang</t>
        </is>
      </c>
      <c r="C94" s="6" t="inlineStr">
        <is>
          <t>Tran Thi Thuy Hang</t>
        </is>
      </c>
      <c r="D94" s="6" t="inlineStr">
        <is>
          <t>Tran Thi Thuy Hang</t>
        </is>
      </c>
    </row>
    <row r="95" customFormat="1" s="8">
      <c r="A95" s="6" t="inlineStr">
        <is>
          <t>Lê Tuấn Thanh</t>
        </is>
      </c>
      <c r="B95" s="6" t="inlineStr">
        <is>
          <t>Le Tuan Thanh</t>
        </is>
      </c>
      <c r="C95" s="6" t="inlineStr">
        <is>
          <t>Le Tuan Thanh</t>
        </is>
      </c>
      <c r="D95" s="6" t="inlineStr">
        <is>
          <t>Le Tuan Thanh</t>
        </is>
      </c>
    </row>
    <row r="96" customFormat="1" s="8">
      <c r="A96" s="6" t="inlineStr">
        <is>
          <t>Huỳnh Thụy Thùy Linh</t>
        </is>
      </c>
      <c r="B96" s="6" t="inlineStr">
        <is>
          <t>Huynh Thuy Thuy Linh</t>
        </is>
      </c>
      <c r="C96" s="6" t="inlineStr">
        <is>
          <t>Huynh Thuy Thuy Linh</t>
        </is>
      </c>
      <c r="D96" s="6" t="inlineStr">
        <is>
          <t>Huynh Thuy Thuy Linh</t>
        </is>
      </c>
    </row>
    <row r="97" customFormat="1" s="8">
      <c r="A97" s="6" t="inlineStr">
        <is>
          <t>Nguyễn Thị Trang</t>
        </is>
      </c>
      <c r="B97" s="6" t="inlineStr">
        <is>
          <t>Nguyen Thi Trang</t>
        </is>
      </c>
      <c r="C97" s="6" t="inlineStr">
        <is>
          <t>Nguyen Thi Trang</t>
        </is>
      </c>
      <c r="D97" s="6" t="inlineStr">
        <is>
          <t>Nguyen Thi Trang</t>
        </is>
      </c>
    </row>
    <row r="98" customFormat="1" s="8">
      <c r="A98" s="6" t="inlineStr">
        <is>
          <t>Trần Thanh Quang</t>
        </is>
      </c>
      <c r="B98" s="6" t="inlineStr">
        <is>
          <t>Tran Thanh Quang</t>
        </is>
      </c>
      <c r="C98" s="6" t="inlineStr">
        <is>
          <t>Tran Thanh Quang</t>
        </is>
      </c>
      <c r="D98" s="6" t="inlineStr">
        <is>
          <t>Tran Thanh Quang</t>
        </is>
      </c>
    </row>
    <row r="99" customFormat="1" s="8">
      <c r="A99" s="6" t="inlineStr">
        <is>
          <t>Nguyễn Hoài Trâm</t>
        </is>
      </c>
      <c r="B99" s="6" t="inlineStr">
        <is>
          <t>Nguyen Hoai Tram</t>
        </is>
      </c>
      <c r="C99" s="6" t="inlineStr">
        <is>
          <t>Nguyen Hoai Tram</t>
        </is>
      </c>
      <c r="D99" s="6" t="inlineStr">
        <is>
          <t>Nguyen Hoai Tram</t>
        </is>
      </c>
    </row>
    <row r="100" customFormat="1" s="8">
      <c r="A100" s="6" t="inlineStr">
        <is>
          <t>Trần Thanh Sơn</t>
        </is>
      </c>
      <c r="B100" s="6" t="inlineStr">
        <is>
          <t>Tran Thanh Son</t>
        </is>
      </c>
      <c r="C100" s="6" t="inlineStr">
        <is>
          <t>Tran Thanh Son</t>
        </is>
      </c>
      <c r="D100" s="6" t="inlineStr">
        <is>
          <t>Tran Thanh Son</t>
        </is>
      </c>
    </row>
    <row r="101" customFormat="1" s="8">
      <c r="A101" s="6" t="inlineStr">
        <is>
          <t>Phạm Lê Xuân Tiên</t>
        </is>
      </c>
      <c r="B101" s="6" t="inlineStr">
        <is>
          <t>Pham Le Xuan Tien</t>
        </is>
      </c>
      <c r="C101" s="6" t="inlineStr">
        <is>
          <t>Pham Le Xuan Tien</t>
        </is>
      </c>
      <c r="D101" s="6" t="inlineStr">
        <is>
          <t>Pham Le Xuan Tien</t>
        </is>
      </c>
    </row>
    <row r="102" customFormat="1" s="8">
      <c r="A102" s="6" t="inlineStr">
        <is>
          <t>Nguyễn Công Thuận</t>
        </is>
      </c>
      <c r="B102" s="6" t="inlineStr">
        <is>
          <t>Nguyen Cong Thuan</t>
        </is>
      </c>
      <c r="C102" s="6" t="inlineStr">
        <is>
          <t>Nguyen Cong Thuan</t>
        </is>
      </c>
      <c r="D102" s="6" t="inlineStr">
        <is>
          <t>Nguyen Cong Thuan</t>
        </is>
      </c>
    </row>
    <row r="103" customFormat="1" s="8">
      <c r="A103" s="6" t="inlineStr">
        <is>
          <t>Lê Hoàng Bảo</t>
        </is>
      </c>
      <c r="B103" s="6" t="inlineStr">
        <is>
          <t>Le Hoang Bao</t>
        </is>
      </c>
      <c r="C103" s="6" t="inlineStr">
        <is>
          <t>Le Hoang Bao</t>
        </is>
      </c>
      <c r="D103" s="6" t="inlineStr">
        <is>
          <t>Le Hoang Bao</t>
        </is>
      </c>
    </row>
    <row r="104" customFormat="1" s="8">
      <c r="A104" s="6" t="inlineStr">
        <is>
          <t>Trần Thị Lan</t>
        </is>
      </c>
      <c r="B104" s="6" t="inlineStr">
        <is>
          <t>Tran Thi Lan</t>
        </is>
      </c>
      <c r="C104" s="6" t="inlineStr">
        <is>
          <t>Tran Thi Lan</t>
        </is>
      </c>
      <c r="D104" s="6" t="inlineStr">
        <is>
          <t>Tran Thi Lan</t>
        </is>
      </c>
    </row>
    <row r="105" customFormat="1" s="8">
      <c r="A105" s="6" t="inlineStr">
        <is>
          <t>Nguyễn Thị Thu Huyền</t>
        </is>
      </c>
      <c r="B105" s="6" t="inlineStr">
        <is>
          <t>Nguyen Thi Thu Huyen</t>
        </is>
      </c>
      <c r="C105" s="6" t="inlineStr">
        <is>
          <t>Nguyen Thi Thu Huyen</t>
        </is>
      </c>
      <c r="D105" s="6" t="inlineStr">
        <is>
          <t>Nguyen Thi Thu Huyen</t>
        </is>
      </c>
    </row>
    <row r="106" customFormat="1" s="8">
      <c r="A106" s="6" t="inlineStr">
        <is>
          <t>Trần Văn Nam</t>
        </is>
      </c>
      <c r="B106" s="6" t="inlineStr">
        <is>
          <t>Tran Van Nam</t>
        </is>
      </c>
      <c r="C106" s="6" t="inlineStr">
        <is>
          <t>Tran Van Nam</t>
        </is>
      </c>
      <c r="D106" s="6" t="inlineStr">
        <is>
          <t>Tran Van Nam</t>
        </is>
      </c>
    </row>
    <row r="107" customFormat="1" s="8">
      <c r="A107" s="6" t="inlineStr">
        <is>
          <t>Nguyễn Thị Ngọc Khánh</t>
        </is>
      </c>
      <c r="B107" s="6" t="inlineStr">
        <is>
          <t>Nguyen Thi Ngoc Khanh</t>
        </is>
      </c>
      <c r="C107" s="6" t="inlineStr">
        <is>
          <t>Nguyen Thi Ngoc Khanh</t>
        </is>
      </c>
      <c r="D107" s="6" t="inlineStr">
        <is>
          <t>Nguyen Thi Ngoc Khanh</t>
        </is>
      </c>
    </row>
    <row r="108" customFormat="1" s="8">
      <c r="A108" s="6" t="inlineStr">
        <is>
          <t>Nguyễn Trần Trúc My</t>
        </is>
      </c>
      <c r="B108" s="6" t="inlineStr">
        <is>
          <t>Nguyen Tran Truc My</t>
        </is>
      </c>
      <c r="C108" s="6" t="inlineStr">
        <is>
          <t>Nguyen Tran Truc My</t>
        </is>
      </c>
      <c r="D108" s="6" t="inlineStr">
        <is>
          <t>Nguyen Tran Truc My</t>
        </is>
      </c>
    </row>
    <row r="109" customFormat="1" s="8">
      <c r="A109" s="6" t="inlineStr">
        <is>
          <t>Trần Thị Hồng Hạnh</t>
        </is>
      </c>
      <c r="B109" s="6" t="inlineStr">
        <is>
          <t>Tran Thi Hong Hanh</t>
        </is>
      </c>
      <c r="C109" s="6" t="inlineStr">
        <is>
          <t>Tran Thi Hong Hanh</t>
        </is>
      </c>
      <c r="D109" s="6" t="inlineStr">
        <is>
          <t>Tran Thi Hong Hanh</t>
        </is>
      </c>
    </row>
    <row r="110" customFormat="1" s="8">
      <c r="A110" s="6" t="inlineStr">
        <is>
          <t>Lê Thị Thùy Dung</t>
        </is>
      </c>
      <c r="B110" s="6" t="inlineStr">
        <is>
          <t>Le Thi Thuy Dung</t>
        </is>
      </c>
      <c r="C110" s="6" t="inlineStr">
        <is>
          <t>Le Thi Thuy Dung</t>
        </is>
      </c>
      <c r="D110" s="6" t="inlineStr">
        <is>
          <t>Le Thi Thuy Dung</t>
        </is>
      </c>
    </row>
    <row r="111" customFormat="1" s="8">
      <c r="A111" s="6" t="inlineStr">
        <is>
          <t>Nguyễn Thị Ngân Hạnh</t>
        </is>
      </c>
      <c r="B111" s="6" t="inlineStr">
        <is>
          <t>Nguyen Thi Ngan Hanh</t>
        </is>
      </c>
      <c r="C111" s="6" t="inlineStr">
        <is>
          <t>Nguyen Thi Ngan Hanh</t>
        </is>
      </c>
      <c r="D111" s="6" t="inlineStr">
        <is>
          <t>Nguyen Thi Ngan Hanh</t>
        </is>
      </c>
    </row>
    <row r="112" customFormat="1" s="8">
      <c r="A112" s="6" t="inlineStr">
        <is>
          <t>Lê Thị Kim Trang</t>
        </is>
      </c>
      <c r="B112" s="6" t="inlineStr">
        <is>
          <t>Le Thi Kim Trang</t>
        </is>
      </c>
      <c r="C112" s="6" t="inlineStr">
        <is>
          <t>Le Thi Kim Trang</t>
        </is>
      </c>
      <c r="D112" s="6" t="inlineStr">
        <is>
          <t>Le Thi Kim Trang</t>
        </is>
      </c>
    </row>
    <row r="113" customFormat="1" s="8">
      <c r="A113" s="6" t="inlineStr">
        <is>
          <t>Trần Ngọc Thuận</t>
        </is>
      </c>
      <c r="B113" s="6" t="inlineStr">
        <is>
          <t>Tran Ngoc Thuan</t>
        </is>
      </c>
      <c r="C113" s="6" t="inlineStr">
        <is>
          <t>Tran Ngoc Thuan</t>
        </is>
      </c>
      <c r="D113" s="6" t="inlineStr">
        <is>
          <t>Tran Ngoc Thuan</t>
        </is>
      </c>
    </row>
    <row r="114" customFormat="1" s="8">
      <c r="A114" s="6" t="inlineStr">
        <is>
          <t>Ngô Ngọc Thùy</t>
        </is>
      </c>
      <c r="B114" s="6" t="inlineStr">
        <is>
          <t>Ngo Ngoc Thuy</t>
        </is>
      </c>
      <c r="C114" s="6" t="inlineStr">
        <is>
          <t>Ngo Ngoc Thuy</t>
        </is>
      </c>
      <c r="D114" s="6" t="inlineStr">
        <is>
          <t>Ngo Ngoc Thuy</t>
        </is>
      </c>
    </row>
    <row r="115" customFormat="1" s="8">
      <c r="A115" s="6" t="inlineStr">
        <is>
          <t>Phan Văn Tiền</t>
        </is>
      </c>
      <c r="B115" s="6" t="inlineStr">
        <is>
          <t>Phan Van Tien</t>
        </is>
      </c>
      <c r="C115" s="6" t="inlineStr">
        <is>
          <t>Phan Van Tien</t>
        </is>
      </c>
      <c r="D115" s="6" t="inlineStr">
        <is>
          <t>Phan Van Tien</t>
        </is>
      </c>
    </row>
    <row r="116" customFormat="1" s="8">
      <c r="A116" s="6" t="inlineStr">
        <is>
          <t>Nguyễn Vương Như Quỳnh</t>
        </is>
      </c>
      <c r="B116" s="6" t="inlineStr">
        <is>
          <t>Nguyen Vuong Nhu Quynh</t>
        </is>
      </c>
      <c r="C116" s="6" t="inlineStr">
        <is>
          <t>Nguyen Vuong Nhu Quynh</t>
        </is>
      </c>
      <c r="D116" s="6" t="inlineStr">
        <is>
          <t>Nguyen Vuong Nhu Quynh</t>
        </is>
      </c>
    </row>
    <row r="117" customFormat="1" s="8">
      <c r="A117" s="6" t="inlineStr">
        <is>
          <t>Trương Nguyên Khôi</t>
        </is>
      </c>
      <c r="B117" s="6" t="inlineStr">
        <is>
          <t>Truong Nguyen Khoi</t>
        </is>
      </c>
      <c r="C117" s="6" t="inlineStr">
        <is>
          <t>Truong Nguyen Khoi</t>
        </is>
      </c>
      <c r="D117" s="6" t="inlineStr">
        <is>
          <t>Truong Nguyen Khoi</t>
        </is>
      </c>
    </row>
    <row r="118" customFormat="1" s="8">
      <c r="A118" s="6" t="inlineStr">
        <is>
          <t>Trương Thị Yến Nhi</t>
        </is>
      </c>
      <c r="B118" s="6" t="inlineStr">
        <is>
          <t>Truong Thi Yen Nhi</t>
        </is>
      </c>
      <c r="C118" s="6" t="inlineStr">
        <is>
          <t>Truong Thi Yen Nhi</t>
        </is>
      </c>
      <c r="D118" s="6" t="inlineStr">
        <is>
          <t>Truong Thi Yen Nhi</t>
        </is>
      </c>
    </row>
    <row r="119" customFormat="1" s="8">
      <c r="A119" s="6" t="inlineStr">
        <is>
          <t>Trần Thị Thủy Tiên</t>
        </is>
      </c>
      <c r="B119" s="6" t="inlineStr">
        <is>
          <t>Tran Thi Thuy Tien</t>
        </is>
      </c>
      <c r="C119" s="6" t="inlineStr">
        <is>
          <t>Tran Thi Thuy Tien</t>
        </is>
      </c>
      <c r="D119" s="6" t="inlineStr">
        <is>
          <t>Tran Thi Thuy Tien</t>
        </is>
      </c>
    </row>
    <row r="120" ht="27.6" customFormat="1" customHeight="1" s="8">
      <c r="A120" s="6" t="inlineStr">
        <is>
          <t>BAN GIÁM ĐỐC</t>
        </is>
      </c>
      <c r="B120" s="6" t="inlineStr">
        <is>
          <t>THE BOARD OF MANAGEMENT</t>
        </is>
      </c>
      <c r="C120" s="6" t="inlineStr">
        <is>
          <t>管 理 阶 层</t>
        </is>
      </c>
      <c r="D120" s="6" t="inlineStr">
        <is>
          <t>管 理 階 層</t>
        </is>
      </c>
    </row>
    <row r="121" customFormat="1" s="8">
      <c r="A121" s="6" t="inlineStr">
        <is>
          <t>BẢNG CÂN ĐỐI KẾ TOÁN</t>
        </is>
      </c>
      <c r="B121" s="6" t="inlineStr">
        <is>
          <t>BALANCE SHEET</t>
        </is>
      </c>
      <c r="C121" s="6" t="inlineStr">
        <is>
          <t>资 产 负 债 表</t>
        </is>
      </c>
      <c r="D121" s="6" t="inlineStr">
        <is>
          <t>資 產 負 債 表</t>
        </is>
      </c>
    </row>
    <row r="122" ht="27.6" customFormat="1" customHeight="1" s="8">
      <c r="A122" s="6" t="inlineStr">
        <is>
          <t>BÁO CÁO CỦA BAN GIÁM ĐỐC</t>
        </is>
      </c>
      <c r="B122" s="6" t="inlineStr">
        <is>
          <t>REPORT OF THE BOARD OF MANAGEMENT</t>
        </is>
      </c>
      <c r="C122" s="6" t="inlineStr">
        <is>
          <t>管 理 阶 层 报 告</t>
        </is>
      </c>
      <c r="D122" s="6" t="inlineStr">
        <is>
          <t>管 理 階 層 報 告</t>
        </is>
      </c>
    </row>
    <row r="123" ht="27.6" customFormat="1" customHeight="1" s="8">
      <c r="A123" s="6" t="inlineStr">
        <is>
          <t>BÁO CÁO CỦA BAN TỔNG GIÁM ĐỐC</t>
        </is>
      </c>
      <c r="B123" s="6" t="inlineStr">
        <is>
          <t>REPORT OF THE BOARD OF GENERAL DIRECTORS</t>
        </is>
      </c>
      <c r="C123" s="6" t="inlineStr">
        <is>
          <t>管 理 阶 层 报 告</t>
        </is>
      </c>
      <c r="D123" s="6" t="inlineStr">
        <is>
          <t>管 理 階 層 報 告</t>
        </is>
      </c>
    </row>
    <row r="124" customFormat="1" s="8">
      <c r="A124" s="6" t="inlineStr">
        <is>
          <t>BÁO CÁO CỦA CHỦ TỊCH</t>
        </is>
      </c>
      <c r="B124" s="6" t="inlineStr">
        <is>
          <t>REPORT OF CHAIRMAN</t>
        </is>
      </c>
      <c r="C124" s="6" t="inlineStr">
        <is>
          <t>董 事 长 报 告</t>
        </is>
      </c>
      <c r="D124" s="6" t="inlineStr">
        <is>
          <t>董 事 長 報 告</t>
        </is>
      </c>
    </row>
    <row r="125" ht="27.6" customFormat="1" customHeight="1" s="8">
      <c r="A125" s="6" t="inlineStr">
        <is>
          <t>BÁO CÁO CỦA CHỦ TỊCH CÔNG TY</t>
        </is>
      </c>
      <c r="B125" s="6" t="inlineStr">
        <is>
          <t>REPORT OF CHAIRMAN</t>
        </is>
      </c>
      <c r="C125" s="6" t="inlineStr">
        <is>
          <t>董 事 长 报 告</t>
        </is>
      </c>
      <c r="D125" s="6" t="inlineStr">
        <is>
          <t>董 事 長 報 告</t>
        </is>
      </c>
    </row>
    <row r="126" customFormat="1" s="8">
      <c r="A126" s="6" t="inlineStr">
        <is>
          <t>BÁO CÁO CỦA GIÁM ĐỐC</t>
        </is>
      </c>
      <c r="B126" s="6" t="inlineStr">
        <is>
          <t>REPORT OF DIRECTOR</t>
        </is>
      </c>
      <c r="C126" s="6" t="inlineStr">
        <is>
          <t>经 理 报 告</t>
        </is>
      </c>
      <c r="D126" s="6" t="inlineStr">
        <is>
          <t>經 理 報 告</t>
        </is>
      </c>
    </row>
    <row r="127" ht="27.6" customFormat="1" customHeight="1" s="8">
      <c r="A127" s="6" t="inlineStr">
        <is>
          <t>BÁO CÁO CỦA GIÁM ĐỐC ĐIỀU HÀNH</t>
        </is>
      </c>
      <c r="B127" s="6" t="inlineStr">
        <is>
          <t>REPORT OF MANAGING DIRECTOR</t>
        </is>
      </c>
      <c r="C127" s="6" t="inlineStr">
        <is>
          <t>执 行 总 监 报 告</t>
        </is>
      </c>
      <c r="D127" s="6" t="inlineStr">
        <is>
          <t>執 行 總 監 報 告</t>
        </is>
      </c>
    </row>
    <row r="128" ht="27.6" customFormat="1" customHeight="1" s="8">
      <c r="A128" s="6" t="inlineStr">
        <is>
          <t>BÁO CÁO CỦA HỘI ĐỒNG QUẢN TRỊ</t>
        </is>
      </c>
      <c r="B128" s="6" t="inlineStr">
        <is>
          <t>REPORT OF THE BOARD OF DIRECTORS</t>
        </is>
      </c>
      <c r="C128" s="6" t="inlineStr">
        <is>
          <t>董 事 会 报 告</t>
        </is>
      </c>
      <c r="D128" s="6" t="inlineStr">
        <is>
          <t>董 事 會 報 告</t>
        </is>
      </c>
    </row>
    <row r="129" ht="27.6" customFormat="1" customHeight="1" s="8">
      <c r="A129" s="6" t="inlineStr">
        <is>
          <t>BÁO CÁO CỦA HỘI ĐỒNG THÀNH VIÊN</t>
        </is>
      </c>
      <c r="B129" s="6" t="inlineStr">
        <is>
          <t>REPORT OF THE BOARD OF MEMBERS</t>
        </is>
      </c>
      <c r="C129" s="6" t="inlineStr">
        <is>
          <t>董事会报告</t>
        </is>
      </c>
      <c r="D129" s="6" t="inlineStr">
        <is>
          <t>董事會報告</t>
        </is>
      </c>
    </row>
    <row r="130" ht="27.6" customFormat="1" customHeight="1" s="8">
      <c r="A130" s="6" t="inlineStr">
        <is>
          <t>BÁO CÁO CỦA TỔNG GIÁM ĐỐC</t>
        </is>
      </c>
      <c r="B130" s="6" t="inlineStr">
        <is>
          <t>REPORT OF GENERAL DIRECTOR</t>
        </is>
      </c>
      <c r="C130" s="6" t="inlineStr">
        <is>
          <t>总 经 理 报 告</t>
        </is>
      </c>
      <c r="D130" s="6" t="inlineStr">
        <is>
          <t>總 經 理 報 告</t>
        </is>
      </c>
    </row>
    <row r="131" ht="27.6" customFormat="1" customHeight="1" s="8">
      <c r="A131" s="6" t="inlineStr">
        <is>
          <t>BÁO CÁO KẾT QUẢ HOẠT ĐỘNG KINH DOANH</t>
        </is>
      </c>
      <c r="B131" s="6" t="inlineStr">
        <is>
          <t>INCOME STATEMENT</t>
        </is>
      </c>
      <c r="C131" s="6" t="inlineStr">
        <is>
          <t>利 润 表</t>
        </is>
      </c>
      <c r="D131" s="6" t="inlineStr">
        <is>
          <t>損 益 表</t>
        </is>
      </c>
    </row>
    <row r="132" ht="27.6" customFormat="1" customHeight="1" s="8">
      <c r="A132" s="6" t="inlineStr">
        <is>
          <t>BÁO CÁO KIỂM TOÁN ĐỘC LẬP</t>
        </is>
      </c>
      <c r="B132" s="6" t="inlineStr">
        <is>
          <t>INDEPENDENT AUDITORS’ REPORT</t>
        </is>
      </c>
      <c r="C132" s="6" t="inlineStr">
        <is>
          <t>会 计 师 审 计 报 告</t>
        </is>
      </c>
      <c r="D132" s="6" t="inlineStr">
        <is>
          <t>會 計 師 查 核 報 告</t>
        </is>
      </c>
    </row>
    <row r="133" ht="27.6" customFormat="1" customHeight="1" s="8">
      <c r="A133" s="6" t="inlineStr">
        <is>
          <t>BÁO CÁO LƯU CHUYỂN TIỀN TỆ</t>
        </is>
      </c>
      <c r="B133" s="6" t="inlineStr">
        <is>
          <t>CASH FLOW STATEMENT</t>
        </is>
      </c>
      <c r="C133" s="6" t="inlineStr">
        <is>
          <t>现 金 流 量 表</t>
        </is>
      </c>
      <c r="D133" s="6" t="inlineStr">
        <is>
          <t>現 金 流 量 表</t>
        </is>
      </c>
    </row>
    <row r="134" ht="27.6" customFormat="1" customHeight="1" s="8">
      <c r="A134" s="6" t="inlineStr">
        <is>
          <t>BÁO CÁO TÀI CHÍNH ĐÃ ĐƯỢC KIỂM TOÁN</t>
        </is>
      </c>
      <c r="B134" s="6" t="inlineStr">
        <is>
          <t>AUDITED FINANCIAL STATEMENTS</t>
        </is>
      </c>
      <c r="C134" s="6" t="inlineStr">
        <is>
          <t>已经审计的财务报表</t>
        </is>
      </c>
      <c r="D134" s="6" t="inlineStr">
        <is>
          <t>業經查核之財務報表</t>
        </is>
      </c>
    </row>
    <row r="135" ht="41.4" customFormat="1" customHeight="1" s="8">
      <c r="A135" s="6" t="inlineStr">
        <is>
          <t>CÁC CHÍNH SÁCH KẾ TOÁN ÁP DỤNG CHỦ YẾU</t>
        </is>
      </c>
      <c r="B135" s="6" t="inlineStr">
        <is>
          <t>SUMMARY OF SIGNIFICANT ACCOUNTING POLICIES</t>
        </is>
      </c>
      <c r="C135" s="6" t="inlineStr">
        <is>
          <t>重 要 会 计 政 策 的 汇 总 说 明</t>
        </is>
      </c>
      <c r="D135" s="6" t="inlineStr">
        <is>
          <t>重 要 會 計 政 策 之 彙 總 說 明</t>
        </is>
      </c>
    </row>
    <row r="136" customFormat="1" s="8">
      <c r="A136" s="6" t="inlineStr">
        <is>
          <t>CHỈ TIÊU</t>
        </is>
      </c>
      <c r="B136" s="6" t="inlineStr">
        <is>
          <t>ITEMS</t>
        </is>
      </c>
      <c r="C136" s="6" t="inlineStr">
        <is>
          <t>项  目</t>
        </is>
      </c>
      <c r="D136" s="6" t="inlineStr">
        <is>
          <t>項  目</t>
        </is>
      </c>
    </row>
    <row r="137" customFormat="1" s="8">
      <c r="A137" s="6" t="inlineStr">
        <is>
          <t>CHỦ TỊCH</t>
        </is>
      </c>
      <c r="B137" s="6" t="inlineStr">
        <is>
          <t>CHAIRMAN</t>
        </is>
      </c>
      <c r="C137" s="6" t="inlineStr">
        <is>
          <t>董 事 长</t>
        </is>
      </c>
      <c r="D137" s="6" t="inlineStr">
        <is>
          <t>董 事 長</t>
        </is>
      </c>
    </row>
    <row r="138" customFormat="1" s="8">
      <c r="A138" s="6" t="inlineStr">
        <is>
          <t>CHỦ TỊCH CÔNG TY</t>
        </is>
      </c>
      <c r="B138" s="6" t="inlineStr">
        <is>
          <t>CHAIRMAN</t>
        </is>
      </c>
      <c r="C138" s="6" t="inlineStr">
        <is>
          <t>董 事 长</t>
        </is>
      </c>
      <c r="D138" s="6" t="inlineStr">
        <is>
          <t>董 事 長</t>
        </is>
      </c>
    </row>
    <row r="139" ht="27.6" customFormat="1" customHeight="1" s="8">
      <c r="A139" s="6" t="inlineStr">
        <is>
          <t>CHỦ TỊCH CÔNG TY VÀ BAN GIÁM ĐỐC</t>
        </is>
      </c>
      <c r="B139" s="6" t="inlineStr">
        <is>
          <t>CHAIRMAN AND THE BOARD OF MANAGEMENT</t>
        </is>
      </c>
      <c r="C139" s="6" t="inlineStr">
        <is>
          <t>董 事 长 和 管 理 阶 层</t>
        </is>
      </c>
      <c r="D139" s="6" t="inlineStr">
        <is>
          <t>董 事 長 及 管 理 階 層</t>
        </is>
      </c>
    </row>
    <row r="140" ht="27.6" customFormat="1" customHeight="1" s="8">
      <c r="A140" s="6" t="inlineStr">
        <is>
          <t>CHỦ TỊCH CÔNG TY VÀ TỔNG GIÁM ĐỐC</t>
        </is>
      </c>
      <c r="B140" s="6" t="inlineStr">
        <is>
          <t>CHAIRMAN AND GENERAL DIRECTOR</t>
        </is>
      </c>
      <c r="C140" s="6" t="inlineStr">
        <is>
          <t>公 司 董 事 长 和 总 经 理</t>
        </is>
      </c>
      <c r="D140" s="6" t="inlineStr">
        <is>
          <t>公 司 董 事 長 及 總 經 理</t>
        </is>
      </c>
    </row>
    <row r="141" ht="55.2" customFormat="1" customHeight="1" s="8">
      <c r="A141" s="6" t="inlineStr">
        <is>
          <t>CHỦ TỊCH HỘI ĐỒNG QUẢN TRỊ VÀ BAN GIÁM ĐỐC</t>
        </is>
      </c>
      <c r="B141" s="6" t="inlineStr">
        <is>
          <t>CHAIRMAN OF THE BOARD OF DIRECTORS AND THE BOARD OF MANAGEMENT</t>
        </is>
      </c>
      <c r="C141" s="6" t="inlineStr">
        <is>
          <t>董 事 长 和 管 理 阶 层</t>
        </is>
      </c>
      <c r="D141" s="6" t="inlineStr">
        <is>
          <t>董 事 長 及 管 理 階 層</t>
        </is>
      </c>
    </row>
    <row r="142" ht="27.6" customFormat="1" customHeight="1" s="8">
      <c r="A142" s="6" t="inlineStr">
        <is>
          <t>CHỦ TỊCH KIÊM TỔNG GIÁM ĐỐC</t>
        </is>
      </c>
      <c r="B142" s="6" t="inlineStr">
        <is>
          <t>CHAIRMAN CUM GENERAL DIRECTOR</t>
        </is>
      </c>
      <c r="C142" s="6" t="inlineStr">
        <is>
          <t>董 事 长 兼 任 总 经 理</t>
        </is>
      </c>
      <c r="D142" s="6" t="inlineStr">
        <is>
          <t>公 司 董 事 長 兼 任 總 經 理</t>
        </is>
      </c>
    </row>
    <row r="143" ht="27.6" customFormat="1" customHeight="1" s="8">
      <c r="A143" s="6" t="inlineStr">
        <is>
          <t>CHỦ TỊCH VÀ GIÁM ĐỐC CÔNG TY</t>
        </is>
      </c>
      <c r="B143" s="6" t="inlineStr">
        <is>
          <t>CHAIRMAN AND DIRECTOR</t>
        </is>
      </c>
      <c r="C143" s="6" t="inlineStr">
        <is>
          <t>公 司 董 事 长 和 经 理</t>
        </is>
      </c>
      <c r="D143" s="6" t="inlineStr">
        <is>
          <t>公 司 董 事 長 和 經 理</t>
        </is>
      </c>
    </row>
    <row r="144" ht="27.6" customFormat="1" customHeight="1" s="8">
      <c r="A144" s="6" t="inlineStr">
        <is>
          <t>CHỦ TỊCH VÀ TỔNG GIÁM ĐỐC</t>
        </is>
      </c>
      <c r="B144" s="6" t="inlineStr">
        <is>
          <t>CHAIRMAN AND GENERAL DIRECTOR</t>
        </is>
      </c>
      <c r="C144" s="6" t="inlineStr">
        <is>
          <t>董 事 长 和 总 经 理</t>
        </is>
      </c>
      <c r="D144" s="6" t="inlineStr">
        <is>
          <t>董 事 長 及 總 經 理</t>
        </is>
      </c>
    </row>
    <row r="145" ht="41.4" customFormat="1" customHeight="1" s="8">
      <c r="A145" s="6" t="inlineStr">
        <is>
          <t>CHUẨN MỰC VÀ CHẾ ĐỘ KẾ TOÁN ÁP DỤNG</t>
        </is>
      </c>
      <c r="B145" s="6" t="inlineStr">
        <is>
          <t>APPLICABLE ACCOUNTING STANDARDS AND SYSTEM</t>
        </is>
      </c>
      <c r="C145" s="6" t="inlineStr">
        <is>
          <t>会 计 制 度 及 准 则 的 采 用</t>
        </is>
      </c>
      <c r="D145" s="6" t="inlineStr">
        <is>
          <t>會 計 制 度 及 準 則 之 採 用</t>
        </is>
      </c>
    </row>
    <row r="146" ht="27.6" customFormat="1" customHeight="1" s="8">
      <c r="A146" s="6" t="inlineStr">
        <is>
          <t>CÔNG TY TNHH KIỂM TOÁN U&amp;I</t>
        </is>
      </c>
      <c r="B146" s="6" t="inlineStr">
        <is>
          <t>U&amp;I AUDITING COMPANY LIMITED</t>
        </is>
      </c>
      <c r="C146" s="6" t="inlineStr">
        <is>
          <t>U&amp;I审计有限公司</t>
        </is>
      </c>
      <c r="D146" s="6" t="inlineStr">
        <is>
          <t>U&amp;I審計有限公司</t>
        </is>
      </c>
    </row>
    <row r="147" ht="27.6" customFormat="1" customHeight="1" s="8">
      <c r="A147" s="6" t="inlineStr">
        <is>
          <t>ĐẶC ĐIỂM HOẠT ĐỘNG CỦA DOANH NGHIỆP</t>
        </is>
      </c>
      <c r="B147" s="6" t="inlineStr">
        <is>
          <t>CORPORATE INFORMATION</t>
        </is>
      </c>
      <c r="C147" s="6" t="inlineStr">
        <is>
          <t>公 司 沿 革</t>
        </is>
      </c>
      <c r="D147" s="6" t="inlineStr">
        <is>
          <t>公 司 沿 革</t>
        </is>
      </c>
    </row>
    <row r="148" customFormat="1" s="8">
      <c r="A148" s="6" t="inlineStr">
        <is>
          <t>GIÁM ĐỐC</t>
        </is>
      </c>
      <c r="B148" s="6" t="inlineStr">
        <is>
          <t>DIRECTOR</t>
        </is>
      </c>
      <c r="C148" s="6" t="inlineStr">
        <is>
          <t>经 理</t>
        </is>
      </c>
      <c r="D148" s="6" t="inlineStr">
        <is>
          <t>經 理</t>
        </is>
      </c>
    </row>
    <row r="149" customFormat="1" s="8">
      <c r="A149" s="6" t="inlineStr">
        <is>
          <t>GIÁM ĐỐC ĐIỀU HÀNH</t>
        </is>
      </c>
      <c r="B149" s="6" t="inlineStr">
        <is>
          <t>MANAGING DIRECTOR</t>
        </is>
      </c>
      <c r="C149" s="6" t="inlineStr">
        <is>
          <t>执 行 总 监</t>
        </is>
      </c>
      <c r="D149" s="6" t="inlineStr">
        <is>
          <t>執 行 總 監</t>
        </is>
      </c>
    </row>
    <row r="150" ht="41.4" customFormat="1" customHeight="1" s="8">
      <c r="A150" s="6" t="inlineStr">
        <is>
          <t>HỘI ĐỒNG QUẢN TRỊ VÀ BAN GIÁM ĐỐC</t>
        </is>
      </c>
      <c r="B150" s="6" t="inlineStr">
        <is>
          <t>THE BOARD OF DIRECTORS AND THE BOARD OF MANAGEMENT</t>
        </is>
      </c>
      <c r="C150" s="6" t="inlineStr">
        <is>
          <t>董 事 会 及 管 理 阶 层</t>
        </is>
      </c>
      <c r="D150" s="6" t="inlineStr">
        <is>
          <t>董 事 會 及 管 理 階 層</t>
        </is>
      </c>
    </row>
    <row r="151" ht="55.2" customFormat="1" customHeight="1" s="8">
      <c r="A151" s="6" t="inlineStr">
        <is>
          <t>HỘI ĐỒNG QUẢN TRỊ VÀ BAN TỔNG GIÁM ĐỐC</t>
        </is>
      </c>
      <c r="B151" s="6" t="inlineStr">
        <is>
          <t>THE BOARD OF DIRECTORS AND THE BOARD OF GENERAL DIRECTORS</t>
        </is>
      </c>
      <c r="C151" s="6" t="inlineStr">
        <is>
          <t>董 事 会 及 管 理 阶 层</t>
        </is>
      </c>
      <c r="D151" s="6" t="inlineStr">
        <is>
          <t>董 事 會 及 管 理 階 層</t>
        </is>
      </c>
    </row>
    <row r="152" ht="41.4" customFormat="1" customHeight="1" s="8">
      <c r="A152" s="6" t="inlineStr">
        <is>
          <t>HỘI ĐỒNG QUẢN TRỊ VÀ GIÁM ĐỐC</t>
        </is>
      </c>
      <c r="B152" s="6" t="inlineStr">
        <is>
          <t>THE BOARD OF DIRECTORS AND DIRECTOR</t>
        </is>
      </c>
      <c r="C152" s="6" t="inlineStr">
        <is>
          <t>董 事 会 及 经 理</t>
        </is>
      </c>
      <c r="D152" s="6" t="inlineStr">
        <is>
          <t>董 事 會 及 經 理</t>
        </is>
      </c>
    </row>
    <row r="153" ht="41.4" customFormat="1" customHeight="1" s="8">
      <c r="A153" s="6" t="inlineStr">
        <is>
          <t>HỘI ĐỒNG QUẢN TRỊ VÀ GIÁM ĐỐC ĐIỀU HÀNH</t>
        </is>
      </c>
      <c r="B153" s="6" t="inlineStr">
        <is>
          <t>THE BOARD OF DIRECTORS AND MANAGING DIRECTOR</t>
        </is>
      </c>
      <c r="C153" s="6" t="inlineStr">
        <is>
          <t>董 事 会 和 执 行 总 监</t>
        </is>
      </c>
      <c r="D153" s="6" t="inlineStr">
        <is>
          <t>董 事 會 及 執 行 總 監</t>
        </is>
      </c>
    </row>
    <row r="154" ht="41.4" customFormat="1" customHeight="1" s="8">
      <c r="A154" s="6" t="inlineStr">
        <is>
          <t>HỘI ĐỒNG QUẢN TRỊ VÀ TỔNG GIÁM ĐỐC</t>
        </is>
      </c>
      <c r="B154" s="6" t="inlineStr">
        <is>
          <t>THE BOARD OF DIRECTORS AND GENERAL DIRECTOR</t>
        </is>
      </c>
      <c r="C154" s="6" t="inlineStr">
        <is>
          <t>董 事 会 及 总 经 理</t>
        </is>
      </c>
      <c r="D154" s="6" t="inlineStr">
        <is>
          <t>董 事 會 及 總 經 理</t>
        </is>
      </c>
    </row>
    <row r="155" ht="41.4" customFormat="1" customHeight="1" s="8">
      <c r="A155" s="6" t="inlineStr">
        <is>
          <t>HỘI ĐỒNG THÀNH VIÊN VÀ BAN GIÁM ĐỐC</t>
        </is>
      </c>
      <c r="B155" s="6" t="inlineStr">
        <is>
          <t>THE BOARD OF MEMBERS AND THE BOARD OF MANAGEMENT</t>
        </is>
      </c>
      <c r="C155" s="6" t="inlineStr">
        <is>
          <t>董 事 会 和 管 理 阶 层</t>
        </is>
      </c>
      <c r="D155" s="6" t="inlineStr">
        <is>
          <t>董 事 會 及 管 理 階 層</t>
        </is>
      </c>
    </row>
    <row r="156" ht="41.4" customFormat="1" customHeight="1" s="8">
      <c r="A156" s="6" t="inlineStr">
        <is>
          <t>HỘI ĐỒNG THÀNH VIÊN VÀ BAN TỔNG GIÁM ĐỐC</t>
        </is>
      </c>
      <c r="B156" s="6" t="inlineStr">
        <is>
          <t>THE BOARD OF MEMBERS AND THE BOARD OF GENERAL DIRECTORS</t>
        </is>
      </c>
      <c r="C156" s="6" t="inlineStr">
        <is>
          <t>董 事 会 和 管 理 阶 层</t>
        </is>
      </c>
      <c r="D156" s="6" t="inlineStr">
        <is>
          <t>董 事 會 及 管 理 階 層</t>
        </is>
      </c>
    </row>
    <row r="157" ht="27.6" customFormat="1" customHeight="1" s="8">
      <c r="A157" s="6" t="inlineStr">
        <is>
          <t>HỘI ĐỒNG THÀNH VIÊN VÀ GIÁM ĐỐC</t>
        </is>
      </c>
      <c r="B157" s="14" t="inlineStr">
        <is>
          <t>THE BOARD OF MEMBERS AND DIRECTOR</t>
        </is>
      </c>
      <c r="C157" s="6" t="inlineStr">
        <is>
          <t>董 事 会 和 经 理</t>
        </is>
      </c>
      <c r="D157" s="6" t="inlineStr">
        <is>
          <t>董 事 會 及 經 理</t>
        </is>
      </c>
    </row>
    <row r="158" ht="41.4" customFormat="1" customHeight="1" s="8">
      <c r="A158" s="6" t="inlineStr">
        <is>
          <t>HỘI ĐỒNG THÀNH VIÊN VÀ GIÁM ĐỐC ĐIỀU HÀNH</t>
        </is>
      </c>
      <c r="B158" s="6" t="inlineStr">
        <is>
          <t>THE BOARD OF MEMBERS AND MANAGING DIRECTOR</t>
        </is>
      </c>
      <c r="C158" s="6" t="inlineStr">
        <is>
          <t>董 事 会 和 执 行 总 监</t>
        </is>
      </c>
      <c r="D158" s="6" t="inlineStr">
        <is>
          <t>董 事 會 及 執 行 總 監</t>
        </is>
      </c>
    </row>
    <row r="159" ht="27.6" customFormat="1" customHeight="1" s="8">
      <c r="A159" s="6" t="inlineStr">
        <is>
          <t>HỘI ĐỒNG THÀNH VIÊN VÀ TỔNG GIÁM ĐỐC</t>
        </is>
      </c>
      <c r="B159" s="6" t="inlineStr">
        <is>
          <t>THE BOARD OF MEMBERS AND GENERAL DIRECTOR</t>
        </is>
      </c>
      <c r="C159" s="6" t="inlineStr">
        <is>
          <t>董 事 会 和 总 经 理</t>
        </is>
      </c>
      <c r="D159" s="6" t="inlineStr">
        <is>
          <t>董 事 會 及 總 經 理</t>
        </is>
      </c>
    </row>
    <row r="160" customFormat="1" s="8">
      <c r="A160" s="6" t="inlineStr">
        <is>
          <t>JPY</t>
        </is>
      </c>
      <c r="B160" s="6" t="inlineStr">
        <is>
          <t>JPY</t>
        </is>
      </c>
      <c r="C160" s="6" t="inlineStr">
        <is>
          <t>日元</t>
        </is>
      </c>
      <c r="D160" s="6" t="inlineStr">
        <is>
          <t>日元</t>
        </is>
      </c>
    </row>
    <row r="161" customFormat="1" s="8">
      <c r="A161" s="6" t="inlineStr">
        <is>
          <t>KIỂM TOÁN VIÊN</t>
        </is>
      </c>
      <c r="B161" s="6" t="inlineStr">
        <is>
          <t>AUDITORS</t>
        </is>
      </c>
      <c r="C161" s="6" t="inlineStr">
        <is>
          <t>会 计 师</t>
        </is>
      </c>
      <c r="D161" s="6" t="inlineStr">
        <is>
          <t>會 計 師</t>
        </is>
      </c>
    </row>
    <row r="162" ht="41.4" customFormat="1" customHeight="1" s="8">
      <c r="A162" s="6" t="inlineStr">
        <is>
          <t>KỲ KẾ TOÁN, ĐƠN VỊ TIỀN TỆ SỬ DỤNG TRONG KẾ TOÁN</t>
        </is>
      </c>
      <c r="B162" s="6" t="inlineStr">
        <is>
          <t>FISCAL YEAR, CURRENCY IN BOOKKEEPING</t>
        </is>
      </c>
      <c r="C162" s="6" t="inlineStr">
        <is>
          <t>会 计 年 度 与 会 计 本 位 币</t>
        </is>
      </c>
      <c r="D162" s="6" t="inlineStr">
        <is>
          <t>會 計 年 度 與 會 計 本 位 幣</t>
        </is>
      </c>
    </row>
    <row r="163" customFormat="1" s="8">
      <c r="A163" s="6" t="inlineStr">
        <is>
          <t>MỤC LỤC</t>
        </is>
      </c>
      <c r="B163" s="6" t="inlineStr">
        <is>
          <t>TABLE OF CONTENTS</t>
        </is>
      </c>
      <c r="C163" s="6" t="inlineStr">
        <is>
          <t>目 录</t>
        </is>
      </c>
      <c r="D163" s="6" t="inlineStr">
        <is>
          <t>目 錄</t>
        </is>
      </c>
    </row>
    <row r="164" ht="27.6" customFormat="1" customHeight="1" s="8">
      <c r="A164" s="6" t="inlineStr">
        <is>
          <t>NGUỒN VỐN</t>
        </is>
      </c>
      <c r="B164" s="6" t="inlineStr">
        <is>
          <t>RESOURCES</t>
        </is>
      </c>
      <c r="C164" s="6" t="inlineStr">
        <is>
          <t>负 债 及 所 有 者 （股 东）权  益</t>
        </is>
      </c>
      <c r="D164" s="6" t="inlineStr">
        <is>
          <t>負 債 及 所 有 者 （股 東）權 益</t>
        </is>
      </c>
    </row>
    <row r="165" customFormat="1" s="8">
      <c r="A165" s="6" t="inlineStr">
        <is>
          <t>NHỮNG THÔNG TIN KHÁC</t>
        </is>
      </c>
      <c r="B165" s="6" t="inlineStr">
        <is>
          <t>OTHER INFORMATION</t>
        </is>
      </c>
      <c r="C165" s="6" t="inlineStr">
        <is>
          <t>其 他 资 讯</t>
        </is>
      </c>
      <c r="D165" s="6" t="inlineStr">
        <is>
          <t>其 他 資 訊</t>
        </is>
      </c>
    </row>
    <row r="166" customFormat="1" s="8">
      <c r="A166" s="6" t="inlineStr">
        <is>
          <t>NỢ PHẢI TRẢ</t>
        </is>
      </c>
      <c r="B166" s="6" t="inlineStr">
        <is>
          <t>LIABILITIES</t>
        </is>
      </c>
      <c r="C166" s="6" t="inlineStr">
        <is>
          <t>负 债</t>
        </is>
      </c>
      <c r="D166" s="6" t="inlineStr">
        <is>
          <t>負 債</t>
        </is>
      </c>
    </row>
    <row r="167" customFormat="1" s="8">
      <c r="A167" s="6" t="inlineStr">
        <is>
          <t>NỘI DUNG</t>
        </is>
      </c>
      <c r="B167" s="6" t="inlineStr">
        <is>
          <t>CONTENTS</t>
        </is>
      </c>
      <c r="C167" s="6" t="inlineStr">
        <is>
          <t>项 目</t>
        </is>
      </c>
      <c r="D167" s="6" t="inlineStr">
        <is>
          <t>項 目</t>
        </is>
      </c>
    </row>
    <row r="168" ht="27.6" customFormat="1" customHeight="1" s="8">
      <c r="A168" s="6" t="inlineStr">
        <is>
          <t>PHÊ DUYỆT BÁO CÁO TÀI CHÍNH</t>
        </is>
      </c>
      <c r="B168" s="6" t="inlineStr">
        <is>
          <t>APPROVAL TO FINANCIAL STATEMENTS</t>
        </is>
      </c>
      <c r="C168" s="6" t="inlineStr">
        <is>
          <t>财 务 报 表 的 批 阅</t>
        </is>
      </c>
      <c r="D168" s="6" t="inlineStr">
        <is>
          <t>財 務 報 表 之 批 閱</t>
        </is>
      </c>
    </row>
    <row r="169" customFormat="1" s="8">
      <c r="A169" s="6" t="inlineStr">
        <is>
          <t>PHỤ LỤC</t>
        </is>
      </c>
      <c r="B169" s="6" t="inlineStr">
        <is>
          <t>APPENDIX</t>
        </is>
      </c>
      <c r="C169" s="6" t="inlineStr">
        <is>
          <t>附 录</t>
        </is>
      </c>
      <c r="D169" s="6" t="inlineStr">
        <is>
          <t>附 錄</t>
        </is>
      </c>
    </row>
    <row r="170" customFormat="1" s="8">
      <c r="A170" s="6" t="inlineStr">
        <is>
          <t>TÀI SẢN</t>
        </is>
      </c>
      <c r="B170" s="6" t="inlineStr">
        <is>
          <t>ASSETS</t>
        </is>
      </c>
      <c r="C170" s="6" t="inlineStr">
        <is>
          <t>资 产</t>
        </is>
      </c>
      <c r="D170" s="6" t="inlineStr">
        <is>
          <t>資 產</t>
        </is>
      </c>
    </row>
    <row r="171" customFormat="1" s="8">
      <c r="A171" s="6" t="inlineStr">
        <is>
          <t>TÀI SẢN DÀI HẠN</t>
        </is>
      </c>
      <c r="B171" s="6" t="inlineStr">
        <is>
          <t>NON-CURRENT ASSETS</t>
        </is>
      </c>
      <c r="C171" s="6" t="inlineStr">
        <is>
          <t>长 期 资 产</t>
        </is>
      </c>
      <c r="D171" s="6" t="inlineStr">
        <is>
          <t>長 期 資 產</t>
        </is>
      </c>
    </row>
    <row r="172" customFormat="1" s="8">
      <c r="A172" s="6" t="inlineStr">
        <is>
          <t>TÀI SẢN NGẮN HẠN</t>
        </is>
      </c>
      <c r="B172" s="6" t="inlineStr">
        <is>
          <t>CURRENT ASSETS</t>
        </is>
      </c>
      <c r="C172" s="6" t="inlineStr">
        <is>
          <t>短 期 资 产</t>
        </is>
      </c>
      <c r="D172" s="6" t="inlineStr">
        <is>
          <t>短 期 資 產</t>
        </is>
      </c>
    </row>
    <row r="173" ht="55.2" customFormat="1" customHeight="1" s="8">
      <c r="A173" s="6" t="inlineStr">
        <is>
          <t>THÔNG TIN BỔ SUNG CÁC KHOẢN MỤC TRÌNH BÀY TRONG BẢNG CÂN ĐỐI KẾ TOÁN</t>
        </is>
      </c>
      <c r="B173" s="6" t="inlineStr">
        <is>
          <t>ADDITIONAL DETAILS OF ITEMS STATED IN THE BALANCE SHEET</t>
        </is>
      </c>
      <c r="C173" s="6" t="inlineStr">
        <is>
          <t>资 产 负 债 表 项 目 附 注</t>
        </is>
      </c>
      <c r="D173" s="6" t="inlineStr">
        <is>
          <t>資 產 負 債 表 項 目 附 註</t>
        </is>
      </c>
    </row>
    <row r="174" ht="69" customFormat="1" customHeight="1" s="8">
      <c r="A174" s="6" t="inlineStr">
        <is>
          <t>THÔNG TIN BỔ SUNG CHO CÁC KHOẢN MỤC TRÌNH BÀY TRONG BÁO CÁO KẾT QUẢ HOẠT ĐỘNG KINH DOANH</t>
        </is>
      </c>
      <c r="B174" s="6" t="inlineStr">
        <is>
          <t>ADDITIONAL DETAILS OF ITEMS DISCLOSED IN INCOME STATEMENT</t>
        </is>
      </c>
      <c r="C174" s="6" t="inlineStr">
        <is>
          <t>利 润 表 项 目 附 注</t>
        </is>
      </c>
      <c r="D174" s="6" t="inlineStr">
        <is>
          <t>損 益 表 項 目 附 註</t>
        </is>
      </c>
    </row>
    <row r="175" ht="55.2" customFormat="1" customHeight="1" s="8">
      <c r="A175" s="6" t="inlineStr">
        <is>
          <t>THÔNG TIN BỔ SUNG CHO CÁC KHOẢN MỤC TRÌNH BÀY TRONG BÁO CÁO LƯU CHUYỂN TIỀN TỆ</t>
        </is>
      </c>
      <c r="B175" s="6" t="inlineStr">
        <is>
          <t>ADDITIONAL INFORMATION OF ITEMS DISCLOSED IN CASH FLOW STATEMENT</t>
        </is>
      </c>
      <c r="C175" s="6" t="inlineStr">
        <is>
          <t>现 金 流 量 表 项 目 附 注</t>
        </is>
      </c>
      <c r="D175" s="6" t="inlineStr">
        <is>
          <t>現 金 流 量 表 項 目 附 註</t>
        </is>
      </c>
    </row>
    <row r="176" ht="27.6" customFormat="1" customHeight="1" s="8">
      <c r="A176" s="6" t="inlineStr">
        <is>
          <t>TỔNG CỘNG NGUỒN VỐN</t>
        </is>
      </c>
      <c r="B176" s="6" t="inlineStr">
        <is>
          <t>TOTAL RESOURCES</t>
        </is>
      </c>
      <c r="C176" s="6" t="inlineStr">
        <is>
          <t>负 债 及 所 有 者 （股 东）权 益 总 计</t>
        </is>
      </c>
      <c r="D176" s="6" t="inlineStr">
        <is>
          <t>負 債 及 所 有 者 （股 東）權 益 總 計</t>
        </is>
      </c>
    </row>
    <row r="177" customFormat="1" s="8">
      <c r="A177" s="6" t="inlineStr">
        <is>
          <t>TỔNG CỘNG TÀI SẢN</t>
        </is>
      </c>
      <c r="B177" s="6" t="inlineStr">
        <is>
          <t>TOTAL ASSETS</t>
        </is>
      </c>
      <c r="C177" s="6" t="inlineStr">
        <is>
          <t>资 产 总 计</t>
        </is>
      </c>
      <c r="D177" s="6" t="inlineStr">
        <is>
          <t>資 產 總 計</t>
        </is>
      </c>
    </row>
    <row r="178" customFormat="1" s="8">
      <c r="A178" s="6" t="inlineStr">
        <is>
          <t>TỔNG GIÁM ĐỐC</t>
        </is>
      </c>
      <c r="B178" s="6" t="inlineStr">
        <is>
          <t>GENERAL DIRECTOR</t>
        </is>
      </c>
      <c r="C178" s="6" t="inlineStr">
        <is>
          <t>总 经 理</t>
        </is>
      </c>
      <c r="D178" s="6" t="inlineStr">
        <is>
          <t>總 經 理</t>
        </is>
      </c>
    </row>
    <row r="179" ht="55.2" customFormat="1" customHeight="1" s="8">
      <c r="A179" s="6" t="inlineStr">
        <is>
          <t>TRÁCH NHIỆM CỦA BAN GIÁM ĐỐC</t>
        </is>
      </c>
      <c r="B179" s="6" t="inlineStr">
        <is>
          <t>THE BOARD OF MANAGEMENT’S STATEMENT OF RESPONSIBILITY</t>
        </is>
      </c>
      <c r="C179" s="6" t="inlineStr">
        <is>
          <t>管 理 阶 层 的 责 任</t>
        </is>
      </c>
      <c r="D179" s="6" t="inlineStr">
        <is>
          <t>管 理 階 層 之 責 任</t>
        </is>
      </c>
    </row>
    <row r="180" ht="55.2" customFormat="1" customHeight="1" s="8">
      <c r="A180" s="6" t="inlineStr">
        <is>
          <t>TRÁCH NHIỆM CỦA BAN TỔNG GIÁM ĐỐC</t>
        </is>
      </c>
      <c r="B180" s="6" t="inlineStr">
        <is>
          <t>STATEMENT OF RESPONSIBILITY OF THE BOARD OF GENERAL DIRECTORS</t>
        </is>
      </c>
      <c r="C180" s="6" t="inlineStr">
        <is>
          <t>管 理 阶 层 的 责 任</t>
        </is>
      </c>
      <c r="D180" s="6" t="inlineStr">
        <is>
          <t>管 理 階 層 之 責 任</t>
        </is>
      </c>
    </row>
    <row r="181" ht="27.6" customFormat="1" customHeight="1" s="8">
      <c r="A181" s="6" t="inlineStr">
        <is>
          <t>TRÁCH NHIỆM CỦA CHỦ TỊCH</t>
        </is>
      </c>
      <c r="B181" s="6" t="inlineStr">
        <is>
          <t>CHAIRMAN’S STATEMENT OF RESPONSIBILITY</t>
        </is>
      </c>
      <c r="C181" s="6" t="inlineStr">
        <is>
          <t>董 事 长 的 责 任</t>
        </is>
      </c>
      <c r="D181" s="6" t="inlineStr">
        <is>
          <t>董 事 長 之 責 任</t>
        </is>
      </c>
    </row>
    <row r="182" ht="27.6" customFormat="1" customHeight="1" s="8">
      <c r="A182" s="6" t="inlineStr">
        <is>
          <t>TRÁCH NHIỆM CỦA CHỦ TỊCH CÔNG TY</t>
        </is>
      </c>
      <c r="B182" s="6" t="inlineStr">
        <is>
          <t>CHAIRMAN’S STATEMENT OF RESPONSIBILITY</t>
        </is>
      </c>
      <c r="C182" s="6" t="inlineStr">
        <is>
          <t>公 司 董 事 长 的 责 任</t>
        </is>
      </c>
      <c r="D182" s="6" t="inlineStr">
        <is>
          <t>公 司 董 事 長 之 責 任</t>
        </is>
      </c>
    </row>
    <row r="183" ht="27.6" customFormat="1" customHeight="1" s="8">
      <c r="A183" s="6" t="inlineStr">
        <is>
          <t>TRÁCH NHIỆM CỦA GIÁM ĐỐC</t>
        </is>
      </c>
      <c r="B183" s="6" t="inlineStr">
        <is>
          <t>DIRECTOR’S STATEMENT OF RESPONSIBILITY</t>
        </is>
      </c>
      <c r="C183" s="6" t="inlineStr">
        <is>
          <t>经 理 的 责 任</t>
        </is>
      </c>
      <c r="D183" s="6" t="inlineStr">
        <is>
          <t>經 理 之 責 任</t>
        </is>
      </c>
    </row>
    <row r="184" ht="41.4" customFormat="1" customHeight="1" s="8">
      <c r="A184" s="6" t="inlineStr">
        <is>
          <t>TRÁCH NHIỆM CỦA GIÁM ĐỐC ĐIỀU HÀNH</t>
        </is>
      </c>
      <c r="B184" s="6" t="inlineStr">
        <is>
          <t>MANAGING DIRECTOR’S STATEMENT OF RESPONSIBILITY</t>
        </is>
      </c>
      <c r="C184" s="6" t="inlineStr">
        <is>
          <t>执 行 总 监 的 责 任</t>
        </is>
      </c>
      <c r="D184" s="6" t="inlineStr">
        <is>
          <t>執 行 總 監 之 責 任</t>
        </is>
      </c>
    </row>
    <row r="185" ht="41.4" customFormat="1" customHeight="1" s="8">
      <c r="A185" s="6" t="inlineStr">
        <is>
          <t>TRÁCH NHIỆM CỦA HỘI ĐỒNG QUẢN TRỊ</t>
        </is>
      </c>
      <c r="B185" s="6" t="inlineStr">
        <is>
          <t>THE BOARD OF DIRECTORS’ STATEMENT OF RESPONSIBILITY</t>
        </is>
      </c>
      <c r="C185" s="6" t="inlineStr">
        <is>
          <t>董 事 会 的 责 任</t>
        </is>
      </c>
      <c r="D185" s="6" t="inlineStr">
        <is>
          <t>董 事 會 之 責 任</t>
        </is>
      </c>
    </row>
    <row r="186" ht="41.4" customFormat="1" customHeight="1" s="8">
      <c r="A186" s="6" t="inlineStr">
        <is>
          <t>TRÁCH NHIỆM CỦA HỘI ĐỒNG THÀNH VIÊN</t>
        </is>
      </c>
      <c r="B186" s="6" t="inlineStr">
        <is>
          <t>THE BOARD OF MEMBERS’ STATEMENT OF RESPONSIBILITY</t>
        </is>
      </c>
      <c r="C186" s="6" t="inlineStr">
        <is>
          <t>董事会的责任</t>
        </is>
      </c>
      <c r="D186" s="6" t="inlineStr">
        <is>
          <t>董事會之責任</t>
        </is>
      </c>
    </row>
    <row r="187" ht="41.4" customFormat="1" customHeight="1" s="8">
      <c r="A187" s="6" t="inlineStr">
        <is>
          <t>TRÁCH NHIỆM CỦA TỔNG GIÁM ĐỐC</t>
        </is>
      </c>
      <c r="B187" s="6" t="inlineStr">
        <is>
          <t>GENERAL DIRECTOR’S STATEMENT OF RESPONSIBILITY</t>
        </is>
      </c>
      <c r="C187" s="6" t="inlineStr">
        <is>
          <t>总 经 理 的 责 任</t>
        </is>
      </c>
      <c r="D187" s="6" t="inlineStr">
        <is>
          <t>總 經 理 之 責 任</t>
        </is>
      </c>
    </row>
    <row r="188" ht="27.6" customFormat="1" customHeight="1" s="8">
      <c r="A188" s="7" t="inlineStr">
        <is>
          <t>TUYÊN BỐ CỦA BAN GIÁM ĐỐC</t>
        </is>
      </c>
      <c r="B188" s="6" t="inlineStr">
        <is>
          <t>STATEMENT BY THE BOARD OF MANAGEMENT</t>
        </is>
      </c>
      <c r="C188" s="6" t="inlineStr">
        <is>
          <t>管 理 阶 层 声 明</t>
        </is>
      </c>
      <c r="D188" s="6" t="inlineStr">
        <is>
          <t>管 理 階 層 聲 明</t>
        </is>
      </c>
    </row>
    <row r="189" ht="41.4" customFormat="1" customHeight="1" s="8">
      <c r="A189" s="7" t="inlineStr">
        <is>
          <t>TUYÊN BỐ CỦA BAN TỔNG GIÁM ĐỐC</t>
        </is>
      </c>
      <c r="B189" s="6" t="inlineStr">
        <is>
          <t>STATEMENT BY THE BOARD OF GENERAL DIRECTORS</t>
        </is>
      </c>
      <c r="C189" s="6" t="inlineStr">
        <is>
          <t>管 理 阶 层 声 明</t>
        </is>
      </c>
      <c r="D189" s="6" t="inlineStr">
        <is>
          <t>管 理 階 層 聲 明</t>
        </is>
      </c>
    </row>
    <row r="190" ht="27.6" customFormat="1" customHeight="1" s="8">
      <c r="A190" s="15" t="inlineStr">
        <is>
          <t>TUYÊN BỐ CỦA CHỦ TỊCH</t>
        </is>
      </c>
      <c r="B190" s="6" t="inlineStr">
        <is>
          <t>STATEMENT BY CHAIRMAN</t>
        </is>
      </c>
      <c r="C190" s="6" t="inlineStr">
        <is>
          <t>董 事 长 声 明</t>
        </is>
      </c>
      <c r="D190" s="6" t="inlineStr">
        <is>
          <t>董 事 長 聲 明</t>
        </is>
      </c>
    </row>
    <row r="191" ht="27.6" customFormat="1" customHeight="1" s="8">
      <c r="A191" s="15" t="inlineStr">
        <is>
          <t>TUYÊN BỐ CỦA GIÁM ĐỐC</t>
        </is>
      </c>
      <c r="B191" s="6" t="inlineStr">
        <is>
          <t>STATEMENT BY DIRECTOR</t>
        </is>
      </c>
      <c r="C191" s="6" t="inlineStr">
        <is>
          <t>经 理 声 明</t>
        </is>
      </c>
      <c r="D191" s="6" t="inlineStr">
        <is>
          <t>經 理 聲 明</t>
        </is>
      </c>
    </row>
    <row r="192" ht="27.6" customFormat="1" customHeight="1" s="8">
      <c r="A192" s="15" t="inlineStr">
        <is>
          <t>TUYÊN BỐ CỦA GIÁM ĐỐC ĐIỀU HÀNH</t>
        </is>
      </c>
      <c r="B192" s="6" t="inlineStr">
        <is>
          <t>STATEMENT BY MANAGING DIRECTOR</t>
        </is>
      </c>
      <c r="C192" s="6" t="inlineStr">
        <is>
          <t>执 行 总 监 声 明</t>
        </is>
      </c>
      <c r="D192" s="6" t="inlineStr">
        <is>
          <t>執 行 總 監 聲 明</t>
        </is>
      </c>
    </row>
    <row r="193" ht="27.6" customFormat="1" customHeight="1" s="8">
      <c r="A193" s="15" t="inlineStr">
        <is>
          <t>TUYÊN BỐ CỦA HỘI ĐỒNG QUẢN TRỊ</t>
        </is>
      </c>
      <c r="B193" s="6" t="inlineStr">
        <is>
          <t>STATEMENT BY THE BOARD OF DIRECTORS</t>
        </is>
      </c>
      <c r="C193" s="6" t="inlineStr">
        <is>
          <t>董 事 会 声 明</t>
        </is>
      </c>
      <c r="D193" s="6" t="inlineStr">
        <is>
          <t>董 事 會 聲 明</t>
        </is>
      </c>
    </row>
    <row r="194" ht="27.6" customFormat="1" customHeight="1" s="8">
      <c r="A194" s="6" t="inlineStr">
        <is>
          <t>TUYÊN BỐ CỦA HỘI ĐỒNG THÀNH VIÊN</t>
        </is>
      </c>
      <c r="B194" s="6" t="inlineStr">
        <is>
          <t>STATEMENT BY THE BOARD OF MEMBERS</t>
        </is>
      </c>
      <c r="C194" s="6" t="inlineStr">
        <is>
          <t>董事会声明</t>
        </is>
      </c>
      <c r="D194" s="6" t="inlineStr">
        <is>
          <t>董事會聲明</t>
        </is>
      </c>
    </row>
    <row r="195" ht="27.6" customFormat="1" customHeight="1" s="8">
      <c r="A195" s="6" t="inlineStr">
        <is>
          <t>TUYÊN BỐ CỦA TỔNG GIÁM ĐỐC</t>
        </is>
      </c>
      <c r="B195" s="6" t="inlineStr">
        <is>
          <t>STATEMENT BY GENERAL DIRECTOR</t>
        </is>
      </c>
      <c r="C195" s="6" t="inlineStr">
        <is>
          <t>总 经 理 声 明</t>
        </is>
      </c>
      <c r="D195" s="6" t="inlineStr">
        <is>
          <t>總 經 理 聲 明</t>
        </is>
      </c>
    </row>
    <row r="196" customFormat="1" s="8">
      <c r="A196" s="6" t="inlineStr">
        <is>
          <t>USD</t>
        </is>
      </c>
      <c r="B196" s="6" t="inlineStr">
        <is>
          <t>USD</t>
        </is>
      </c>
      <c r="C196" s="6" t="inlineStr">
        <is>
          <t>美元</t>
        </is>
      </c>
      <c r="D196" s="6" t="inlineStr">
        <is>
          <t>美元</t>
        </is>
      </c>
    </row>
    <row r="197" customFormat="1" s="8">
      <c r="A197" s="6" t="inlineStr">
        <is>
          <t>VND</t>
        </is>
      </c>
      <c r="B197" s="6" t="inlineStr">
        <is>
          <t>VND</t>
        </is>
      </c>
      <c r="C197" s="6" t="inlineStr">
        <is>
          <t>越南盾</t>
        </is>
      </c>
      <c r="D197" s="6" t="inlineStr">
        <is>
          <t>越南盾</t>
        </is>
      </c>
    </row>
    <row r="198" customFormat="1" s="8">
      <c r="A198" s="6" t="inlineStr">
        <is>
          <t>VND/USD</t>
        </is>
      </c>
      <c r="B198" s="6" t="inlineStr">
        <is>
          <t>VND/USD</t>
        </is>
      </c>
      <c r="C198" s="6" t="inlineStr">
        <is>
          <t>越南盾/美元</t>
        </is>
      </c>
      <c r="D198" s="6" t="inlineStr">
        <is>
          <t>越南盾/美元</t>
        </is>
      </c>
    </row>
    <row r="199" customFormat="1" s="8">
      <c r="A199" s="6" t="inlineStr">
        <is>
          <t>VỐN CHỦ SỞ HỮU</t>
        </is>
      </c>
      <c r="B199" s="6" t="inlineStr">
        <is>
          <t>OWNER’S EQUITY</t>
        </is>
      </c>
      <c r="C199" s="6" t="inlineStr">
        <is>
          <t>所 有 者 （股 东）权 益</t>
        </is>
      </c>
      <c r="D199" s="6" t="inlineStr">
        <is>
          <t>所 有 者 （股 東）權 益</t>
        </is>
      </c>
    </row>
    <row r="200" ht="27.6" customFormat="1" customHeight="1" s="8">
      <c r="A200" s="6" t="inlineStr">
        <is>
          <t>BẢN THUYẾT MINH BÁO CÁO TÀI CHÍNH</t>
        </is>
      </c>
      <c r="B200" s="6" t="inlineStr">
        <is>
          <t>NOTES TO THE FINANCIAL STATEMENTS</t>
        </is>
      </c>
      <c r="C200" s="6" t="inlineStr">
        <is>
          <t>财 务 报 表 附 注</t>
        </is>
      </c>
      <c r="D200" s="6" t="inlineStr">
        <is>
          <t>財 務 報 表 附 註</t>
        </is>
      </c>
    </row>
    <row r="201" customFormat="1" s="8">
      <c r="A201" s="6" t="inlineStr">
        <is>
          <t>MẪU SỐ</t>
        </is>
      </c>
      <c r="B201" s="6" t="inlineStr">
        <is>
          <t>FORM</t>
        </is>
      </c>
      <c r="C201" s="6" t="inlineStr">
        <is>
          <t>表 格</t>
        </is>
      </c>
      <c r="D201" s="6" t="inlineStr">
        <is>
          <t>表 格</t>
        </is>
      </c>
    </row>
    <row r="202" ht="41.4" customFormat="1" customHeight="1" s="8">
      <c r="A202" s="6" t="inlineStr">
        <is>
          <t>Bản thuyết minh kèm theo là một bộ phận hợp thành của Báo cáo tài chính này</t>
        </is>
      </c>
      <c r="B202" s="6" t="inlineStr">
        <is>
          <t>The accompanying notes are an integral part of these financial statements.</t>
        </is>
      </c>
      <c r="C202" s="6" t="inlineStr">
        <is>
          <t>后附财务报表附注为本财务报表的一部分</t>
        </is>
      </c>
      <c r="D202" s="6" t="inlineStr">
        <is>
          <t>後附財務報表附註為本財務報表之一部分</t>
        </is>
      </c>
    </row>
    <row r="203" ht="69" customFormat="1" customHeight="1" s="8">
      <c r="A203" s="6" t="inlineStr">
        <is>
          <t>Bản thuyết minh này là một bộ phận hợp thành và cần được đọc đồng thời với Báo cáo tài chính</t>
        </is>
      </c>
      <c r="B203" s="6" t="inlineStr">
        <is>
          <t>These notes are an integral part of and should be read in conjunction with the accompanying financial statements</t>
        </is>
      </c>
      <c r="C203" s="6" t="inlineStr">
        <is>
          <t>本财务报表附注为本财务报表的一部分并须连同参阅</t>
        </is>
      </c>
      <c r="D203" s="6" t="inlineStr">
        <is>
          <t>本財務報表附註為本財務報表之一部分並須連同參閱</t>
        </is>
      </c>
    </row>
    <row r="204" customFormat="1" s="8">
      <c r="A204" s="6" t="inlineStr">
        <is>
          <t>Phụ lục</t>
        </is>
      </c>
      <c r="B204" s="6" t="inlineStr">
        <is>
          <t>Appendix</t>
        </is>
      </c>
      <c r="C204" s="6" t="inlineStr">
        <is>
          <t>附录</t>
        </is>
      </c>
      <c r="D204" s="6" t="inlineStr">
        <is>
          <t>附錄</t>
        </is>
      </c>
    </row>
    <row r="205" customFormat="1" s="8">
      <c r="A205" s="6" t="inlineStr">
        <is>
          <t>Ý kiến của Kiểm toán viên</t>
        </is>
      </c>
      <c r="B205" s="6" t="inlineStr">
        <is>
          <t>Opinion</t>
        </is>
      </c>
      <c r="C205" s="6" t="inlineStr">
        <is>
          <t>会计师审计意见</t>
        </is>
      </c>
      <c r="D205" s="6" t="inlineStr">
        <is>
          <t>會計師查核意見</t>
        </is>
      </c>
    </row>
    <row r="206" ht="82.8" customFormat="1" customHeight="1" s="8">
      <c r="A206" s="6" t="inlineStr">
        <is>
          <t>Chúng tôi tin tưởng rằng các bằng chứng kiểm toán mà chúng tôi đã thu thập được là đầy đủ và thích hợp làm cơ sở cho ý kiến kiểm toán ngoại trừ của chúng tôi.</t>
        </is>
      </c>
      <c r="B206" s="6" t="inlineStr">
        <is>
          <t>We believe that the audit evidence we have obtained is sufficient and appropriate to provide a basis for our qualified audit opinion.</t>
        </is>
      </c>
      <c r="C206" s="6" t="inlineStr">
        <is>
          <t>本会计师相信，我们已获取足够及适切的查核证据，以作为表示保留意见的基础。</t>
        </is>
      </c>
      <c r="D206" s="6" t="inlineStr">
        <is>
          <t>本會計師相信，我們已獲取足夠及適切之查核證據，以作為表示保留意見之基礎。</t>
        </is>
      </c>
    </row>
    <row r="207" ht="27.6" customFormat="1" customHeight="1" s="8">
      <c r="A207" s="6" t="inlineStr">
        <is>
          <t>Cơ sở của ý kiến kiểm toán ngoại trừ</t>
        </is>
      </c>
      <c r="B207" s="6" t="inlineStr">
        <is>
          <t>Basis for qualified opinion</t>
        </is>
      </c>
      <c r="C207" s="6" t="inlineStr">
        <is>
          <t>保留意见的基础</t>
        </is>
      </c>
      <c r="D207" s="6" t="inlineStr">
        <is>
          <t>保留意見之基礎</t>
        </is>
      </c>
    </row>
    <row r="208" customFormat="1" s="8">
      <c r="A208" s="6" t="inlineStr">
        <is>
          <t>Ý kiến kiểm toán ngoại trừ</t>
        </is>
      </c>
      <c r="B208" s="6" t="inlineStr">
        <is>
          <t>Qualified opinion</t>
        </is>
      </c>
      <c r="C208" s="6" t="inlineStr">
        <is>
          <t>会计师保留意见</t>
        </is>
      </c>
      <c r="D208" s="6" t="inlineStr">
        <is>
          <t>會計師保留意見</t>
        </is>
      </c>
    </row>
    <row r="209" ht="27.6" customFormat="1" customHeight="1" s="8">
      <c r="A209" s="6" t="inlineStr">
        <is>
          <t>Cơ sở của việc từ chối đưa ra ý kiến</t>
        </is>
      </c>
      <c r="B209" s="6" t="inlineStr">
        <is>
          <t>Basis for disclaimer of opinion</t>
        </is>
      </c>
      <c r="C209" s="6" t="inlineStr">
        <is>
          <t>无法表示意见的基础</t>
        </is>
      </c>
      <c r="D209" s="6" t="inlineStr">
        <is>
          <t>無法表示意見之基礎</t>
        </is>
      </c>
    </row>
    <row r="210" ht="151.8" customFormat="1" customHeight="1" s="8">
      <c r="A210" s="6" t="inlineStr">
        <is>
          <t>Do tầm quan trọng của các vấn đề nêu tại đoạn “Cơ sở của việc từ chối đưa ra ý kiến”, chúng tôi không thể thu thập được đầy đủ bằng chứng kiểm toán thích hợp để làm cơ sở đưa ra ý kiến kiểm toán. Do đó, chúng tôi không thể đưa ra ý kiến về Báo cáo tài chính đính kèm.</t>
        </is>
      </c>
      <c r="B210" s="6" t="inlineStr">
        <is>
          <t>Because of the significance of the matters described in the “Basis for disclaimer of opinion” paragraph, we have not been able to obtain sufficient appropriate audit evidence to provide a basis for an audit opinion. Accordingly, we do not express an opinion on the accompanying financial statements.</t>
        </is>
      </c>
      <c r="C210" s="6" t="inlineStr">
        <is>
          <t>由于「无法表示意见的基础」段所述事项的重大影响，本会计师无法获取足够及适切的查核证据以作为会计师查核意见的基础。因此，本会计师对上开财务报表无法表示意见。</t>
        </is>
      </c>
      <c r="D210" s="6" t="inlineStr">
        <is>
          <t>由於「無法表示意見之基礎」段所述事項之重大影響，本會計師無法獲取足夠及適切之查核證據以作為會計師查核意見之基礎。因此，本會計師對上開財務報表無法表示意見。</t>
        </is>
      </c>
    </row>
    <row r="211" ht="165.6" customFormat="1" customHeight="1" s="8">
      <c r="A211" s="6" t="inlineStr">
        <is>
          <t>Trách nhiệm của chúng tôi là đưa ra ý kiến về Báo cáo tài chính dựa trên kết quả của cuộc kiểm toán được thực hiện theo các chuẩn mực kiểm toán Việt Nam. Tuy nhiên, do các vấn đề mô tả tại đoạn “Cơ sở của việc từ chối đưa ra ý kiến”, chúng tôi đã không thể thu thập được đầy đủ bằng chứng kiểm toán thích hợp để làm cơ sở đưa ra ý kiến kiểm toán.</t>
        </is>
      </c>
      <c r="B211" s="6" t="inlineStr">
        <is>
          <t>Our responsibility is to express an opinion on these financial statements based on conducting the audit in accordance with Vietnamese Standards on Auditing. Because of the issues described in the “Basis for disclaimer of opinion” paragraph, however, we were not able to obtain sufficient appropriate audit evidence to provide a basis for an opinion.</t>
        </is>
      </c>
      <c r="C211" s="6" t="inlineStr">
        <is>
          <t>本会计师的责任则为根据查核结果对上开财务报表表示意见。然而，依如「无法表示意见的基础」段所述事项的影响，本会计师已无法获取足够及适切的查核证据以作为会计师查核意见的基础。</t>
        </is>
      </c>
      <c r="D211" s="6" t="inlineStr">
        <is>
          <t>本會計師之責任則為根據查核結果對上開財務報表表示意見。然而，依如「無法表示意見之基礎」段所述事項之影響，本會計師業已無法獲取足夠及適切之查核證據以作為會計師查核意見之基礎。</t>
        </is>
      </c>
    </row>
    <row r="212" customFormat="1" s="8">
      <c r="A212" s="6" t="inlineStr">
        <is>
          <t>Từ chối đưa ra ý kiến</t>
        </is>
      </c>
      <c r="B212" s="6" t="inlineStr">
        <is>
          <t>Disclaimer of opinion</t>
        </is>
      </c>
      <c r="C212" s="6" t="inlineStr">
        <is>
          <t>无法表示意见</t>
        </is>
      </c>
      <c r="D212" s="6" t="inlineStr">
        <is>
          <t>無法表示意見</t>
        </is>
      </c>
    </row>
    <row r="213" ht="151.8" customFormat="1" customHeight="1" s="8">
      <c r="A213" s="6" t="inlineStr">
        <is>
          <t>Do ảnh hưởng của các vấn đề nêu trên, chúng tôi không thể xác định liệu có cần điều chỉnh đối với các khoản mục nói trên thể hiện trên Bảng cân đối kế toán, lợi nhuận cho năm tài chính được báo cáo trong Báo cáo kết quả hoạt động kinh doanh và lưu chuyển tiền thuần trong Báo cáo lưu chuyển tiền tệ hay không.</t>
        </is>
      </c>
      <c r="B213" s="6" t="inlineStr">
        <is>
          <t>Due to influence of the aforesaid matters, we are unable to determine whether or not adjustments are required to the aforesaid items disclosed in the Balance sheet, the profit disclosed in the Income statement, and the net cash flow disclosed in the Cash flow statement.</t>
        </is>
      </c>
      <c r="C213" s="6" t="inlineStr">
        <is>
          <t>由于上述事项的影响，本会计师无法确定应否对列于资产负债表中的上述项目、列于利润表中的当期利润、列于现金流量表中的浄现金流量作出适当调整。</t>
        </is>
      </c>
      <c r="D213" s="6" t="inlineStr">
        <is>
          <t>由於上述事項之影響，本會計師無法確定應否對列於資產負債表中之上述項目、列於損益表中之當期利潤、列於現金流量表中之浄現金流量作出適當調整。</t>
        </is>
      </c>
    </row>
    <row r="214" customFormat="1" s="8">
      <c r="A214" s="6" t="inlineStr">
        <is>
          <t>Mrs.</t>
        </is>
      </c>
      <c r="B214" s="6" t="inlineStr">
        <is>
          <t>Ms.</t>
        </is>
      </c>
      <c r="C214" s="2" t="n"/>
      <c r="D214" s="2" t="n"/>
    </row>
    <row r="215" customFormat="1" s="8">
      <c r="A215" s="6" t="inlineStr">
        <is>
          <t>1 tháng</t>
        </is>
      </c>
      <c r="B215" s="6" t="inlineStr">
        <is>
          <t>01 month</t>
        </is>
      </c>
      <c r="C215" s="2" t="n"/>
      <c r="D215" s="2" t="n"/>
    </row>
    <row r="216" customFormat="1" s="8">
      <c r="A216" s="6" t="inlineStr">
        <is>
          <t>%/năm</t>
        </is>
      </c>
      <c r="B216" s="6" t="inlineStr">
        <is>
          <t>%/year</t>
        </is>
      </c>
      <c r="C216" s="6" t="inlineStr">
        <is>
          <t>%/年</t>
        </is>
      </c>
      <c r="D216" s="6" t="inlineStr">
        <is>
          <t>%/年</t>
        </is>
      </c>
    </row>
    <row r="217" customFormat="1" s="8">
      <c r="A217" s="6" t="inlineStr">
        <is>
          <t>(%/năm)</t>
        </is>
      </c>
      <c r="B217" s="6" t="inlineStr">
        <is>
          <t>(% p.a.)</t>
        </is>
      </c>
      <c r="C217" s="6" t="inlineStr">
        <is>
          <t>（%/年）</t>
        </is>
      </c>
      <c r="D217" s="6" t="inlineStr">
        <is>
          <t>（%/年）</t>
        </is>
      </c>
    </row>
    <row r="218" ht="27.6" customFormat="1" customHeight="1" s="8">
      <c r="A218" s="6" t="inlineStr">
        <is>
          <t>(được trình bày ở mục vay và nợ ngắn hạn)</t>
        </is>
      </c>
      <c r="B218" s="6" t="inlineStr">
        <is>
          <t>(shown under short-term borrowings and liabilities)</t>
        </is>
      </c>
      <c r="C218" s="6" t="inlineStr">
        <is>
          <t>（列示在短期借款及负债项目）</t>
        </is>
      </c>
      <c r="D218" s="6" t="inlineStr">
        <is>
          <t>（列示在短期借款及負債項目）</t>
        </is>
      </c>
    </row>
    <row r="219" ht="27.6" customFormat="1" customHeight="1" s="8">
      <c r="A219" s="6" t="inlineStr">
        <is>
          <t>(được trình bày ở mục vay và nợ dài hạn)</t>
        </is>
      </c>
      <c r="B219" s="6" t="inlineStr">
        <is>
          <t>(shown under long-term borrowings and liabilities)</t>
        </is>
      </c>
      <c r="C219" s="6" t="inlineStr">
        <is>
          <t>（列示于长期借款及融资租赁负债）</t>
        </is>
      </c>
      <c r="D219" s="6" t="inlineStr">
        <is>
          <t>（列示於長期借款及融資租賃負債）</t>
        </is>
      </c>
    </row>
    <row r="220" ht="27.6" customFormat="1" customHeight="1" s="8">
      <c r="A220" s="6" t="inlineStr">
        <is>
          <t>(Lãi) tỷ giá hối đoái do đánh giá lại cuối năm</t>
        </is>
      </c>
      <c r="B220" s="6" t="inlineStr">
        <is>
          <t>Foreign exchange (gain) from year-end revaluation</t>
        </is>
      </c>
      <c r="C220" s="6" t="inlineStr">
        <is>
          <t>年底重估的汇兑收益</t>
        </is>
      </c>
      <c r="D220" s="6" t="inlineStr">
        <is>
          <t>年底重估之匯兌收益</t>
        </is>
      </c>
    </row>
    <row r="221" ht="27.6" customFormat="1" customHeight="1" s="8">
      <c r="A221" s="6" t="inlineStr">
        <is>
          <t>(Lãi)/Lỗ tỷ giá hối đoái do đánh giá lại cuối năm</t>
        </is>
      </c>
      <c r="B221" s="6" t="inlineStr">
        <is>
          <t>Losses/(Gains) on exchange rates revaluated at year-end</t>
        </is>
      </c>
      <c r="C221" s="6" t="inlineStr">
        <is>
          <t>年底重估的汇兑损失（收益）</t>
        </is>
      </c>
      <c r="D221" s="6" t="inlineStr">
        <is>
          <t>年底重估之匯兌損失或（收益）</t>
        </is>
      </c>
    </row>
    <row r="222" customFormat="1" s="8">
      <c r="A222" s="6" t="inlineStr">
        <is>
          <t>(Theo phương pháp gián tiếp)</t>
        </is>
      </c>
      <c r="B222" s="6" t="inlineStr">
        <is>
          <t>(Indirect method)</t>
        </is>
      </c>
      <c r="C222" s="6" t="inlineStr">
        <is>
          <t>(采用间接法)</t>
        </is>
      </c>
      <c r="D222" s="6" t="inlineStr">
        <is>
          <t>(採用間接法)</t>
        </is>
      </c>
    </row>
    <row r="223" ht="55.2" customFormat="1" customHeight="1" s="8">
      <c r="A223" s="6" t="inlineStr">
        <is>
          <t>, các khoản tiền thuê phải trả trong tương lai theo các hợp đồng thuê được trình bày như sau:</t>
        </is>
      </c>
      <c r="B223" s="6" t="inlineStr">
        <is>
          <t>, future lease amounts due under operating leases are as follows:</t>
        </is>
      </c>
      <c r="C223" s="6" t="inlineStr">
        <is>
          <t>，已签订租赁合同的未来应付租赁给付列示如下：</t>
        </is>
      </c>
      <c r="D223" s="6" t="inlineStr">
        <is>
          <t>，已簽訂租賃合約之未來應付租賃給付列示如下：</t>
        </is>
      </c>
    </row>
    <row r="224" ht="27.6" customFormat="1" customHeight="1" s="8">
      <c r="A224" s="6" t="inlineStr">
        <is>
          <t>, Công ty chưa có nhân viên</t>
        </is>
      </c>
      <c r="B224" s="6" t="inlineStr">
        <is>
          <t>, the Company has no employees</t>
        </is>
      </c>
      <c r="C224" s="6" t="inlineStr">
        <is>
          <t>，公司目前没有员工</t>
        </is>
      </c>
      <c r="D224" s="6" t="inlineStr">
        <is>
          <t>，公司目前沒有員工</t>
        </is>
      </c>
    </row>
    <row r="225" ht="41.4" customFormat="1" customHeight="1" s="8">
      <c r="A225" s="6" t="inlineStr">
        <is>
          <t>, Công ty không có các khoản nợ phải trả người bán quá hạn chưa thanh toán.</t>
        </is>
      </c>
      <c r="B225" s="6" t="inlineStr">
        <is>
          <t>, the Company had no outstanding overdue trade accounts payable.</t>
        </is>
      </c>
      <c r="C225" s="6" t="inlineStr">
        <is>
          <t>，公司沒有逾期未付的应付帐款。</t>
        </is>
      </c>
      <c r="D225" s="6" t="inlineStr">
        <is>
          <t>，公司並無逾期未付的應付帳款。</t>
        </is>
      </c>
    </row>
    <row r="226" ht="41.4" customFormat="1" customHeight="1" s="8">
      <c r="A226" s="6" t="inlineStr">
        <is>
          <t>, Công ty không có nợ phải trả người bán quá hạn chưa thanh toán.</t>
        </is>
      </c>
      <c r="B226" s="6" t="inlineStr">
        <is>
          <t>, the Company had no outstanding overdue trade accounts payable.</t>
        </is>
      </c>
      <c r="C226" s="6" t="inlineStr">
        <is>
          <t>，公司沒有逾期未付的应付帐款。</t>
        </is>
      </c>
      <c r="D226" s="6" t="inlineStr">
        <is>
          <t>，公司並無逾期未付的應付帳款。</t>
        </is>
      </c>
    </row>
    <row r="227" ht="41.4" customFormat="1" customHeight="1" s="8">
      <c r="A227" s="6" t="inlineStr">
        <is>
          <t>, đã điều hành Công ty trong suốt năm và đến ngày lập báo cáo.</t>
        </is>
      </c>
      <c r="B227" s="6" t="inlineStr">
        <is>
          <t>, has held business during the year and at the date of this report.</t>
        </is>
      </c>
      <c r="C227" s="6" t="inlineStr">
        <is>
          <t>，已经负责维持公司整年度截至编制报表当日的运作。</t>
        </is>
      </c>
      <c r="D227" s="6" t="inlineStr">
        <is>
          <t>，業已負責維持公司整年度截至編製報表當日之運作。</t>
        </is>
      </c>
    </row>
    <row r="228" customFormat="1" s="8">
      <c r="A228" s="6" t="inlineStr">
        <is>
          <t>1 năm</t>
        </is>
      </c>
      <c r="B228" s="6" t="inlineStr">
        <is>
          <t>1 year</t>
        </is>
      </c>
      <c r="C228" s="6" t="inlineStr">
        <is>
          <t>1 年</t>
        </is>
      </c>
      <c r="D228" s="6" t="inlineStr">
        <is>
          <t>1 年</t>
        </is>
      </c>
    </row>
    <row r="229" ht="27.6" customFormat="1" customHeight="1" s="8">
      <c r="A229" s="6" t="inlineStr">
        <is>
          <t>Ảnh hưởng của thay đổi tỷ giá hối đoái quy đổi  ngoại tệ</t>
        </is>
      </c>
      <c r="B229" s="6" t="inlineStr">
        <is>
          <t>Impacts of exchange rate fluctuations</t>
        </is>
      </c>
      <c r="C229" s="6" t="inlineStr">
        <is>
          <t>汇率变动对现金（外币折算）的影响</t>
        </is>
      </c>
      <c r="D229" s="6" t="inlineStr">
        <is>
          <t>匯率變動對現金（外幣折算）之影響</t>
        </is>
      </c>
    </row>
    <row r="230" ht="27.6" customFormat="1" customHeight="1" s="8">
      <c r="A230" s="6" t="inlineStr">
        <is>
          <t>Ảnh hưởng của thay đổi tỷ giá hối đoái quy đổi ngoại tệ</t>
        </is>
      </c>
      <c r="B230" s="6" t="inlineStr">
        <is>
          <t>Impacts of exchange rate fluctuations</t>
        </is>
      </c>
      <c r="C230" s="6" t="inlineStr">
        <is>
          <t>汇率变动对现金（外币折算）的影响</t>
        </is>
      </c>
      <c r="D230" s="6" t="inlineStr">
        <is>
          <t>匯率變動對現金（外幣折算）之影響</t>
        </is>
      </c>
    </row>
    <row r="231" customFormat="1" s="8">
      <c r="A231" s="6" t="inlineStr">
        <is>
          <t>Ảnh hưởng do:</t>
        </is>
      </c>
      <c r="B231" s="6" t="inlineStr">
        <is>
          <t>Effect of:</t>
        </is>
      </c>
      <c r="C231" s="6" t="inlineStr">
        <is>
          <t>影响项目：</t>
        </is>
      </c>
      <c r="D231" s="6" t="inlineStr">
        <is>
          <t>影響項目：</t>
        </is>
      </c>
    </row>
    <row r="232" customFormat="1" s="8">
      <c r="A232" s="6" t="inlineStr">
        <is>
          <t>Bà</t>
        </is>
      </c>
      <c r="B232" s="6" t="inlineStr">
        <is>
          <t>Ms.</t>
        </is>
      </c>
      <c r="C232" s="6" t="inlineStr">
        <is>
          <t>女士đảo</t>
        </is>
      </c>
      <c r="D232" s="6" t="inlineStr">
        <is>
          <t>女士đảo</t>
        </is>
      </c>
    </row>
    <row r="233" customFormat="1" s="8">
      <c r="A233" s="6" t="inlineStr">
        <is>
          <t>Ban Giám đốc</t>
        </is>
      </c>
      <c r="B233" s="6" t="inlineStr">
        <is>
          <t>The Board of Management</t>
        </is>
      </c>
      <c r="C233" s="6" t="inlineStr">
        <is>
          <t>管理阶层</t>
        </is>
      </c>
      <c r="D233" s="6" t="inlineStr">
        <is>
          <t>管理階層</t>
        </is>
      </c>
    </row>
    <row r="234" ht="96.59999999999999" customFormat="1" customHeight="1" s="8">
      <c r="A234" s="6" t="inlineStr">
        <is>
          <t xml:space="preserve">Ban Giám đốc chịu trách nhiệm đảm bảo rằng sổ sách kế toán được ghi chép một cách phù hợp để phản ánh một cách hợp lý tình hình tài chính của Công ty ở bất kỳ thời điểm nào. </t>
        </is>
      </c>
      <c r="B234" s="6" t="inlineStr">
        <is>
          <t xml:space="preserve">The Board of Management is responsible for ensuring that proper accounting records are kept, which disclose, with reasonable accuracy at any time, the financial position of the Company. </t>
        </is>
      </c>
      <c r="C234" s="6" t="inlineStr">
        <is>
          <t>管理阶层应负责保证会计账簿适当地记载且公允地反映公司在某个时间点的财务状况。</t>
        </is>
      </c>
      <c r="D234" s="6" t="inlineStr">
        <is>
          <t>管理階層應負責保證會計帳簿適當地記載且公允地反映公司於某個時間點之財務狀況。</t>
        </is>
      </c>
    </row>
    <row r="235" ht="262.2" customFormat="1" customHeight="1" s="8">
      <c r="A235" s="6" t="inlineStr">
        <is>
          <t>Ban 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mà Ban Giám đốc xác định là cần thiết để đảm bảo cho việc lập và trình bày Báo cáo tài chính không có sai sót trọng yếu do gian lận hoặc nhầm lẫn.</t>
        </is>
      </c>
      <c r="B235" s="6" t="inlineStr">
        <is>
          <t>The Board of Management is responsible for the preparation and fair presentation of these financial statements in accordance with Vietnamese Accounting Standards, the Vietnamese Enterprise Accounting System and applicable regulations relevant to the preparation and presentation of financial statements and for such internal control as the Board of Management determines is necessary to enable the preparation of financial statements that are free from material misstatement, whether due to fraud or error.</t>
        </is>
      </c>
      <c r="C235" s="6" t="inlineStr">
        <is>
          <t>公司管理阶层负责按照《越南会计准则》、《越南企业会计制度》以及财务报表编制和列报的相关法规编制财务报表，并使其实现公允反映，以及对管理阶层确定必要的内部控制负有责任，以使财务报表的编制与列报不存在由于舞弊或错误导致的重大错报。</t>
        </is>
      </c>
      <c r="D235" s="6" t="inlineStr">
        <is>
          <t>公司管理階層負責按照《越南會計準則》、《越南企業會計制度》以及財務報表編製及列報之相關法規編製財務報表，並使其實現公允反映，以及對管理階層確定必要之內部控制負有責任，以使財務報表之編製與列報不存在由於舞弊或錯誤導致之重大錯報。</t>
        </is>
      </c>
    </row>
    <row r="236" ht="138" customFormat="1" customHeight="1" s="8">
      <c r="A236" s="6" t="inlineStr">
        <is>
          <t>Ban Giám đốc Công ty có trách nhiệm lập Báo cáo tài chính từng năm, phản ánh một cách trung thực và hợp lý tình hình tài chính của Công ty, cũng như kết quả hoạt động kinh doanh và tình hình lưu chuyển tiền tệ trong năm. Trong việc lập Báo cáo tài chính này, Ban Giám đốc được yêu cầu phải:</t>
        </is>
      </c>
      <c r="B236" s="6" t="inlineStr">
        <is>
          <t>The Board of Management is responsible for preparing the financial statements of each fiscal year, which give a true and fair view of the state of affairs of the Company and of its operations and cash flows for the year. In preparing those financial statements, the Board of Management is required to:</t>
        </is>
      </c>
      <c r="C236" s="6" t="inlineStr">
        <is>
          <t>公司管理阶层应负责编制每年度的财务报表，并使其真实、公允地反映公司年度内的财务状况、营业活动结果和现金流量状况。对于本财务报表的编制，管理阶层必须：</t>
        </is>
      </c>
      <c r="D236" s="6" t="inlineStr">
        <is>
          <t>公司管理階層應負責編製每年度之財務報表，並使其真實、公允地反映公司年度內之財務狀況、營業活動結果以及現金流量狀況。對於本財務報表之編製，管理階層必須：</t>
        </is>
      </c>
    </row>
    <row r="237" ht="69" customFormat="1" customHeight="1" s="8">
      <c r="A237" s="6" t="inlineStr">
        <is>
          <t>Ban Giám đốc Công ty đã điều hành Công ty trong suốt năm và đến ngày lập báo cáo gồm:</t>
        </is>
      </c>
      <c r="B237" s="6" t="inlineStr">
        <is>
          <t>The Board of Management of the Company who have held business during the year and at the date of this report are as follows:</t>
        </is>
      </c>
      <c r="C237" s="13" t="inlineStr">
        <is>
          <t>公司管理阶层，已经负责维持公司整年度截至编制报表当日的运作，详细如下：</t>
        </is>
      </c>
      <c r="D237" s="13" t="inlineStr">
        <is>
          <t>公司管理階層，業已負責維持公司整年度截至編製報表當日之運作，詳細如下：</t>
        </is>
      </c>
    </row>
    <row r="238" ht="96.59999999999999" customFormat="1" customHeight="1" s="8">
      <c r="A238" s="6" t="inlineStr">
        <is>
          <t>Ban Giám đốc cũng chịu trách nhiệm đảm bảo an toàn cho tài sản của Công ty và vì vậy thực hiện các biện pháp thích hợp để ngăn chặn và phát hiện các hành vi gian lận và sai phạm khác.</t>
        </is>
      </c>
      <c r="B238" s="6" t="inlineStr">
        <is>
          <t>The Board of Management is also responsible for safeguarding the assets of the Company and hence for taking reasonable steps for the prevention and detection of fraud and other irregularities.</t>
        </is>
      </c>
      <c r="C238" s="6" t="inlineStr">
        <is>
          <t>管理阶层亦负责确保公司财产的安全，所以已采取适当措施以防止或发现舞弊及其他违法行为。</t>
        </is>
      </c>
      <c r="D238" s="6" t="inlineStr">
        <is>
          <t>管理階層亦負責確保公司財產之安全，所以已採取適當措施以防止或發現舞弊及其他違法行為。</t>
        </is>
      </c>
    </row>
    <row r="239" ht="69" customFormat="1" customHeight="1" s="8">
      <c r="A239" s="6" t="inlineStr">
        <is>
          <t>Ban Giám đốc xác nhận rằng Công ty đã tuân thủ các yêu cầu nêu trên trong việc lập Báo cáo tài chính.</t>
        </is>
      </c>
      <c r="B239" s="6" t="inlineStr">
        <is>
          <t>The Board of Management confirms that the Company has complied with the above requirements in preparing the financial statements.</t>
        </is>
      </c>
      <c r="C239" s="6" t="inlineStr">
        <is>
          <t>管理阶层确认，公司在编制财务报表过程中已遵守上述要求。</t>
        </is>
      </c>
      <c r="D239" s="6" t="inlineStr">
        <is>
          <t>管理階層確認，公司在編製財務報表過程中已遵守上述要求。</t>
        </is>
      </c>
    </row>
    <row r="240" customFormat="1" s="8">
      <c r="A240" s="6" t="inlineStr">
        <is>
          <t>Ban Tổng Giám đốc</t>
        </is>
      </c>
      <c r="B240" s="6" t="inlineStr">
        <is>
          <t>The Board of General Directors</t>
        </is>
      </c>
      <c r="C240" s="6" t="inlineStr">
        <is>
          <t>管理阶层</t>
        </is>
      </c>
      <c r="D240" s="6" t="inlineStr">
        <is>
          <t>管理階層</t>
        </is>
      </c>
    </row>
    <row r="241" ht="96.59999999999999" customFormat="1" customHeight="1" s="8">
      <c r="A241" s="6" t="inlineStr">
        <is>
          <t xml:space="preserve">Ban Tổng Giám đốc chịu trách nhiệm đảm bảo rằng sổ sách kế toán được ghi chép một cách phù hợp để phản ánh một cách hợp lý tình hình tài chính của Công ty ở bất kỳ thời điểm nào. </t>
        </is>
      </c>
      <c r="B241" s="6" t="inlineStr">
        <is>
          <t xml:space="preserve">The Board of General Directors is responsible for ensuring that proper accounting records are kept, which disclose, with reasonable accuracy at any time, the financial position of the Company. </t>
        </is>
      </c>
      <c r="C241" s="6" t="inlineStr">
        <is>
          <t>管理阶层应负责保证会计账簿适当地记载且公允地反映公司在某个时间点的财务状况。</t>
        </is>
      </c>
      <c r="D241" s="6" t="inlineStr">
        <is>
          <t>管理階層應負責保證會計帳簿適當地記載且公允地反映公司於某個時間點之財務狀況。</t>
        </is>
      </c>
    </row>
    <row r="242" ht="262.2" customFormat="1" customHeight="1" s="8">
      <c r="A242" s="6" t="inlineStr">
        <is>
          <t>Ban Tổng 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mà Ban Tổng Giám đốc xác định là cần thiết để đảm bảo cho việc lập và trình bày Báo cáo tài chính không có sai sót trọng yếu do gian lận hoặc nhầm lẫn.</t>
        </is>
      </c>
      <c r="B242" s="6" t="inlineStr">
        <is>
          <t>The Board of General Directors is responsible for the preparation and fair presentation of these financial statements in accordance with Vietnamese Accounting Standards, the Vietnamese Enterprise Accounting System and applicable regulations relevant to the preparation and presentation of financial statements and for such internal control as the Board of General Directors determines is necessary to enable the preparation of financial statements that are free from material misstatement, whether due to fraud or error.</t>
        </is>
      </c>
      <c r="C242" s="6" t="inlineStr">
        <is>
          <t>公司管理阶层负责按照《越南会计准则》、《越南企业会计制度》以及财务报表编制和列报的相关法规编制财务报表，并使其实现公允反映，以及对管理阶层确定必要的内部控制负有责任，以使财务报表的编制与列报不存在由于舞弊或错误导致的重大错报。</t>
        </is>
      </c>
      <c r="D242" s="6" t="inlineStr">
        <is>
          <t>公司管理階層負責按照《越南會計準則》、《越南企業會計制度》以及財務報表編製及列報之相關法規編製財務報表，並使其實現公允反映，以及對管理階層確定必要之內部控制負有責任，以使財務報表之編製與列報不存在由於舞弊或錯誤導致之重大錯報。</t>
        </is>
      </c>
    </row>
    <row r="243" ht="151.8" customFormat="1" customHeight="1" s="8">
      <c r="A243" s="6" t="inlineStr">
        <is>
          <t>Ban Tổng Giám đốc Công ty có trách nhiệm lập Báo cáo tài chính từng năm, phản ánh một cách trung thực và hợp lý tình hình tài chính của Công ty, cũng như kết quả hoạt động kinh doanh và tình hình lưu chuyển tiền tệ trong năm. Trong việc lập Báo cáo tài chính này, Ban Tổng Giám đốc được yêu cầu phải:</t>
        </is>
      </c>
      <c r="B243" s="6" t="inlineStr">
        <is>
          <t>The Board of General Directors is responsible for preparing the financial statements of each fiscal year, which give a true and fair view of the state of affairs of the Company and of its operations and cash flows for the year. In preparing those financial statements, the Board of General Directors is required to:</t>
        </is>
      </c>
      <c r="C243" s="6" t="inlineStr">
        <is>
          <t>公司管理阶层应负责编制每年度的财务报表，并使其真实、公允地反映公司年度内的财务状况、营业活动结果和现金流量状况。对于本财务报表的编制，管理阶层必须：</t>
        </is>
      </c>
      <c r="D243" s="6" t="inlineStr">
        <is>
          <t>公司管理階層應負責編製每年度之財務報表，並使其真實、公允地反映公司年度內之財務狀況、營業活動結果以及現金流量狀況。對於本財務報表之編製，管理階層必須：</t>
        </is>
      </c>
    </row>
    <row r="244" ht="69" customFormat="1" customHeight="1" s="8">
      <c r="A244" s="6" t="inlineStr">
        <is>
          <t>Ban Tổng Giám đốc Công ty đã điều hành Công ty trong suốt năm và đến ngày lập báo cáo gồm:</t>
        </is>
      </c>
      <c r="B244" s="6" t="inlineStr">
        <is>
          <t>The Board of General Directors of the Company who have held business during the year and at the date of this report are as follows:</t>
        </is>
      </c>
      <c r="C244" s="6" t="inlineStr">
        <is>
          <t>公司管理阶层，已经负责维持公司整年度截至编制报表当日的运作，详细如下：</t>
        </is>
      </c>
      <c r="D244" s="6" t="inlineStr">
        <is>
          <t>公司管理階層，業已負責維持公司整年度截至編製報表當日之運作，詳細如下：</t>
        </is>
      </c>
    </row>
    <row r="245" ht="96.59999999999999" customFormat="1" customHeight="1" s="8">
      <c r="A245" s="6" t="inlineStr">
        <is>
          <t>Ban Tổng Giám đốc cũng chịu trách nhiệm đảm bảo an toàn cho tài sản của Công ty và vì vậy thực hiện các biện pháp thích hợp để ngăn chặn và phát hiện các hành vi gian lận và sai phạm khác.</t>
        </is>
      </c>
      <c r="B245" s="6" t="inlineStr">
        <is>
          <t>The Board of General Directors is also responsible for safeguarding the assets of the Company and hence for taking reasonable steps for the prevention and detection of fraud and other irregularities.</t>
        </is>
      </c>
      <c r="C245" s="6" t="inlineStr">
        <is>
          <t>管理阶层亦负责确保公司财产的安全，所以已采取适当措施以防止或发现舞弊及其他违法行为。</t>
        </is>
      </c>
      <c r="D245" s="6" t="inlineStr">
        <is>
          <t>管理階層亦負責確保公司財產之安全，所以已採取適當措施以防止或發現舞弊及其他違法行為。</t>
        </is>
      </c>
    </row>
    <row r="246" ht="69" customFormat="1" customHeight="1" s="8">
      <c r="A246" s="6" t="inlineStr">
        <is>
          <t>Ban Tổng Giám đốc xác nhận rằng Công ty đã tuân thủ các yêu cầu nêu trên trong việc lập Báo cáo tài chính.</t>
        </is>
      </c>
      <c r="B246" s="6" t="inlineStr">
        <is>
          <t>The Board of General Directors confirms that the Company has complied with the above requirements in preparing the financial statements.</t>
        </is>
      </c>
      <c r="C246" s="6" t="inlineStr">
        <is>
          <t>管理阶层确认，公司在编制财务报表过程中已遵守上述要求。</t>
        </is>
      </c>
      <c r="D246" s="6" t="inlineStr">
        <is>
          <t>管理階層確認，公司在編製財務報表過程中已遵守上述要求。</t>
        </is>
      </c>
    </row>
    <row r="247" customFormat="1" s="8">
      <c r="A247" s="6" t="inlineStr">
        <is>
          <t>Bảng cân đối kế toán</t>
        </is>
      </c>
      <c r="B247" s="6" t="inlineStr">
        <is>
          <t>Balance Sheet</t>
        </is>
      </c>
      <c r="C247" s="6" t="inlineStr">
        <is>
          <t>资产负债表</t>
        </is>
      </c>
      <c r="D247" s="6" t="inlineStr">
        <is>
          <t>資產負債表</t>
        </is>
      </c>
    </row>
    <row r="248" ht="82.8" customFormat="1" customHeight="1" s="8">
      <c r="A248" s="6" t="inlineStr">
        <is>
          <t>Bảng phân tích dưới đây thể hiện dòng tiền chưa chiết khấu theo thời gian đáo hạn còn lại dựa theo hợp đồng của các khoản nợ phải trả tài chính phi phái sinh</t>
        </is>
      </c>
      <c r="B248" s="6" t="inlineStr">
        <is>
          <t>The table below shows the undiscounted cash flows over the remaining contractual maturity of non-derivative financial liabilities</t>
        </is>
      </c>
      <c r="C248" s="6" t="inlineStr">
        <is>
          <t>下表就非衍生金融负债依据资产负债表日至合同到期日的剩余期间的未折现现金流量予以分析：</t>
        </is>
      </c>
      <c r="D248" s="6" t="inlineStr">
        <is>
          <t>下表就非衍生金融負債依據資產負債表日至合約到期日之剩餘期間之未折現現金流量予以分析：</t>
        </is>
      </c>
    </row>
    <row r="249" ht="82.8" customFormat="1" customHeight="1" s="8">
      <c r="A249" s="6" t="inlineStr">
        <is>
          <t>Bảng phân tích dưới đây thể hiện dòng tiền chưa chiết khấu theo thời gian đáo hạn còn lại dựa theo hợp đồng của các khoản tài sản tài chính phi phái sinh</t>
        </is>
      </c>
      <c r="B249" s="6" t="inlineStr">
        <is>
          <t>The table below shows the undiscounted cash flows over the remaining contractual maturity of non-derivative financial assets</t>
        </is>
      </c>
      <c r="C249" s="13" t="inlineStr">
        <is>
          <t>下表就非衍生金融资产依据资产负债表日至合同到期日的剩余期间的未折现现金流量予以分析：</t>
        </is>
      </c>
      <c r="D249" s="13" t="inlineStr">
        <is>
          <t>下表就非衍生金融資產依據資產負債表日至合約到期日之剩餘期間之未折現現金流量予以分析：</t>
        </is>
      </c>
    </row>
    <row r="250" ht="41.4" customFormat="1" customHeight="1" s="8">
      <c r="A250" s="6" t="inlineStr">
        <is>
          <t>Bangkok Bank Public Company Limited Ho Chi Minh city Branch</t>
        </is>
      </c>
      <c r="B250" s="6" t="inlineStr">
        <is>
          <t>Bangkok Bank Public Company Limited - Ho Chi Minh City Branch</t>
        </is>
      </c>
      <c r="C250" s="6" t="inlineStr">
        <is>
          <t>Bangkok Bank Public Company Limited - Ho Chi Minh City Branch</t>
        </is>
      </c>
      <c r="D250" s="6" t="inlineStr">
        <is>
          <t>Bangkok Bank Public Company Limited Ho Chi Minh Branch</t>
        </is>
      </c>
    </row>
    <row r="251" ht="27.6" customFormat="1" customHeight="1" s="8">
      <c r="A251" s="6" t="inlineStr">
        <is>
          <t>Báo cáo kết quả hoạt động kinh doanh</t>
        </is>
      </c>
      <c r="B251" s="6" t="inlineStr">
        <is>
          <t>Income Statement</t>
        </is>
      </c>
      <c r="C251" s="6" t="inlineStr">
        <is>
          <t>利润表</t>
        </is>
      </c>
      <c r="D251" s="6" t="inlineStr">
        <is>
          <t>損益表</t>
        </is>
      </c>
    </row>
    <row r="252" customFormat="1" s="8">
      <c r="A252" s="6" t="inlineStr">
        <is>
          <t>Báo cáo lưu chuyển tiền tệ</t>
        </is>
      </c>
      <c r="B252" s="6" t="inlineStr">
        <is>
          <t>Cash flow statement</t>
        </is>
      </c>
      <c r="C252" s="6" t="inlineStr">
        <is>
          <t>现金流量表</t>
        </is>
      </c>
      <c r="D252" s="6" t="inlineStr">
        <is>
          <t>現金流量表</t>
        </is>
      </c>
    </row>
    <row r="253" ht="55.2" customFormat="1" customHeight="1" s="8">
      <c r="A253" s="6" t="inlineStr">
        <is>
          <t>Báo cáo tài chính được dịch sang Nhật từ báo cáo tiếng Việt phát hành tại Việt Nam.</t>
        </is>
      </c>
      <c r="B253" s="6" t="inlineStr">
        <is>
          <t>The financial statements have been translated from Vietnamese version issued in Vietnam into Japanese.</t>
        </is>
      </c>
      <c r="C253" s="6" t="inlineStr">
        <is>
          <t>财务报表日文译本是依在越南所出具的越文报表翻译而成。</t>
        </is>
      </c>
      <c r="D253" s="6" t="inlineStr">
        <is>
          <t>財務報表日文譯本係依在越南所出具之越文報表翻譯而成。</t>
        </is>
      </c>
    </row>
    <row r="254" ht="55.2" customFormat="1" customHeight="1" s="8">
      <c r="A254" s="6" t="inlineStr">
        <is>
          <t>Báo cáo tài chính được dịch sang tiếng Anh từ báo cáo tiếng Việt phát hành tại Việt Nam.</t>
        </is>
      </c>
      <c r="B254" s="6" t="inlineStr">
        <is>
          <t>The financial statements have been translated from Vietnamese version issued in Vietnam into English.</t>
        </is>
      </c>
      <c r="C254" s="6" t="inlineStr">
        <is>
          <t>财务报表英文译本是依在越南所出具的越文报表翻译而成。</t>
        </is>
      </c>
      <c r="D254" s="6" t="inlineStr">
        <is>
          <t>財務報表英文譯本係依在越南所出具之越文報表翻譯而成。</t>
        </is>
      </c>
    </row>
    <row r="255" ht="69" customFormat="1" customHeight="1" s="8">
      <c r="A255" s="6" t="inlineStr">
        <is>
          <t>Báo cáo tài chính được dịch sang tiếng Anh và Hàn từ báo cáo tiếng Việt phát hành tại Việt Nam.</t>
        </is>
      </c>
      <c r="B255" s="6" t="inlineStr">
        <is>
          <t>The financial statements have been translated from Vietnamese version issued in Vietnam into English and Korean.</t>
        </is>
      </c>
      <c r="C255" s="6" t="inlineStr">
        <is>
          <t>财务报表英文及韩文译本是依在越南所出具的越文报表翻译而成。</t>
        </is>
      </c>
      <c r="D255" s="6" t="inlineStr">
        <is>
          <t>財務報表英文及韓文譯本係依在越南所出具之越文報表翻譯而成。</t>
        </is>
      </c>
    </row>
    <row r="256" ht="69" customFormat="1" customHeight="1" s="8">
      <c r="A256" s="6" t="inlineStr">
        <is>
          <t>Báo cáo tài chính được dịch sang tiếng Anh và Nhật từ báo cáo tiếng Việt phát hành tại Việt Nam.</t>
        </is>
      </c>
      <c r="B256" s="6" t="inlineStr">
        <is>
          <t>The financial statements have been translated from Vietnamese version issued in Vietnam into English and Japanese.</t>
        </is>
      </c>
      <c r="C256" s="6" t="inlineStr">
        <is>
          <t>财务报表英文及日文译本是依在越南所出具的越文报表翻译而成。</t>
        </is>
      </c>
      <c r="D256" s="6" t="inlineStr">
        <is>
          <t>財務報表英文及日文譯本係依在越南所出具之越文報表翻譯而成。</t>
        </is>
      </c>
    </row>
    <row r="257" ht="69" customFormat="1" customHeight="1" s="8">
      <c r="A257" s="6" t="inlineStr">
        <is>
          <t>Báo cáo tài chính được dịch sang tiếng Anh và tiếng Hoa từ báo cáo tiếng Việt phát hành tại Việt Nam.</t>
        </is>
      </c>
      <c r="B257" s="6" t="inlineStr">
        <is>
          <t>The financial statements have been translated from Vietnamese version issued in Vietnam into English and Chinese.</t>
        </is>
      </c>
      <c r="C257" s="6" t="inlineStr">
        <is>
          <t>财务报表中文及英文译本是依在越南所出具的越文报表翻译而成。</t>
        </is>
      </c>
      <c r="D257" s="6" t="inlineStr">
        <is>
          <t>財務報表中文及英文譯本係依在越南所出具之越文報表翻譯而成。</t>
        </is>
      </c>
    </row>
    <row r="258" ht="55.2" customFormat="1" customHeight="1" s="8">
      <c r="A258" s="6" t="inlineStr">
        <is>
          <t>Báo cáo tài chính được dịch sang tiếng Hoa từ báo cáo tiếng Việt phát hành tại Việt Nam.</t>
        </is>
      </c>
      <c r="B258" s="6" t="inlineStr">
        <is>
          <t>The financial statements have been translated from Vietnamese version issued in Vietnam into Chinese.</t>
        </is>
      </c>
      <c r="C258" s="6" t="inlineStr">
        <is>
          <t>财务报表中文译本是依在越南所出具的越文报表翻译而成。</t>
        </is>
      </c>
      <c r="D258" s="6" t="inlineStr">
        <is>
          <t>財務報表中文譯本係依在越南所出具之越文報表翻譯而成。</t>
        </is>
      </c>
    </row>
    <row r="259" ht="69" customFormat="1" customHeight="1" s="8">
      <c r="A259" s="6" t="inlineStr">
        <is>
          <t>Báo cáo tài chính được dịch sang tiếng Hoa và tiếng Anh từ báo cáo tiếng Việt phát hành tại Việt Nam.</t>
        </is>
      </c>
      <c r="B259" s="6" t="inlineStr">
        <is>
          <t>The financial statements have been translated from Vietnamese version issued in Vietnam into Chinese and English.</t>
        </is>
      </c>
      <c r="C259" s="6" t="inlineStr">
        <is>
          <t>财务报表中文及英文译本是依在越南所出具的越文报表翻译而成。</t>
        </is>
      </c>
      <c r="D259" s="6" t="inlineStr">
        <is>
          <t>財務報表中文及英文譯本係依在越南所出具之越文報表翻譯而成。</t>
        </is>
      </c>
    </row>
    <row r="260" ht="96.59999999999999" customFormat="1" customHeight="1" s="8">
      <c r="A260" s="6" t="inlineStr">
        <is>
          <t>Báo cáo tài chính được lập và trình bày theo quy ước giá gốc, phù hợp với Chuẩn mực kế toán Việt Nam và Chế độ kế toán doanh nghiệp Việt Nam.</t>
        </is>
      </c>
      <c r="B260" s="6" t="inlineStr">
        <is>
          <t>The financial statements have been prepared under the historical cost convention and in accordance with Vietnamese Accounting Standards and Vietnamese Enterprise Accounting System.</t>
        </is>
      </c>
      <c r="C260" s="6" t="inlineStr">
        <is>
          <t>财务报表依照原始成本原则编制及列报，符合越南会计准则及越南企业会计制度。</t>
        </is>
      </c>
      <c r="D260" s="6" t="inlineStr">
        <is>
          <t>財務報表依照原始成本原則編製及列報，符合越南會計準則及越南企業會計制度。</t>
        </is>
      </c>
    </row>
    <row r="261" ht="124.2" customFormat="1" customHeight="1" s="8">
      <c r="A261" s="6" t="inlineStr">
        <is>
          <t xml:space="preserve">Báo cáo tài chính kèm theo không nhằm phản ánh tình hình tài chính, kết quả hoạt động kinh doanh và tình hình lưu chuyển tiền tệ phù hợp với các nguyên tắc và thông lệ kế toán được chấp nhận chung tại các nước khác ngoài Việt Nam. </t>
        </is>
      </c>
      <c r="B261" s="6" t="inlineStr">
        <is>
          <t xml:space="preserve">The accompanying financial statements are not intended to present the financial position, results of operations and cash flows in accordance with accounting principles and practices generally accepted in countries and jurisdictions other than Vietnam. </t>
        </is>
      </c>
      <c r="C261" s="6" t="inlineStr">
        <is>
          <t>附上财务报表所呈列的财务状况、经营结果与现金流量状况除越南以外并不反映其他国家所公认会计原则及会计通例。</t>
        </is>
      </c>
      <c r="D261" s="6" t="inlineStr">
        <is>
          <t>附上財務報表所呈列之財務狀況、經營結果與現金流量狀況除越南以外並不反映其他國家所公認會計原則及會計通例。</t>
        </is>
      </c>
    </row>
    <row r="262" customFormat="1" s="8">
      <c r="A262" s="6" t="inlineStr">
        <is>
          <t>Bảo hiểm xã hội</t>
        </is>
      </c>
      <c r="B262" s="6" t="inlineStr">
        <is>
          <t>Social insurance</t>
        </is>
      </c>
      <c r="C262" s="6" t="inlineStr">
        <is>
          <t>社会保险</t>
        </is>
      </c>
      <c r="D262" s="6" t="inlineStr">
        <is>
          <t>社會保險</t>
        </is>
      </c>
    </row>
    <row r="263" ht="27.6" customFormat="1" customHeight="1" s="8">
      <c r="A263" s="6" t="inlineStr">
        <is>
          <t>Bảo hiểm xã hội nộp thừa</t>
        </is>
      </c>
      <c r="B263" s="6" t="inlineStr">
        <is>
          <t>Overpaid social insurance premiums</t>
        </is>
      </c>
      <c r="C263" s="13" t="inlineStr">
        <is>
          <t>社会保险溢缴款</t>
        </is>
      </c>
      <c r="D263" s="13" t="inlineStr">
        <is>
          <t>社會保險溢繳款</t>
        </is>
      </c>
    </row>
    <row r="264" ht="41.4" customFormat="1" customHeight="1" s="8">
      <c r="A264" s="6" t="inlineStr">
        <is>
          <t>Bảo hiểm xã hội, bảo hiểm y tế và bảo hiểm thất nghiệp</t>
        </is>
      </c>
      <c r="B264" s="6" t="inlineStr">
        <is>
          <t>Social insurance, health insurance and unemployment insurance premiums</t>
        </is>
      </c>
      <c r="C264" s="6" t="inlineStr">
        <is>
          <t>社会保险、医疗保险和失业保险</t>
        </is>
      </c>
      <c r="D264" s="6" t="inlineStr">
        <is>
          <t>社會保險、醫療保險和失業保險</t>
        </is>
      </c>
    </row>
    <row r="265" ht="55.2" customFormat="1" customHeight="1" s="8">
      <c r="A265" s="6" t="inlineStr">
        <is>
          <t>Bảo hiểm xã hội, bảo hiểm y tế và bảo hiểm thất nghiệp, kinh phí công đoàn</t>
        </is>
      </c>
      <c r="B265" s="6" t="inlineStr">
        <is>
          <t>Social insurance, health insurance and unemployment insurance premiums, trade union fees</t>
        </is>
      </c>
      <c r="C265" s="6" t="inlineStr">
        <is>
          <t>社会保险、医疗保险和失业保险、工会经费</t>
        </is>
      </c>
      <c r="D265" s="6" t="inlineStr">
        <is>
          <t>社會保險、醫療保險和失業保險、工會經費</t>
        </is>
      </c>
    </row>
    <row r="266" customFormat="1" s="8">
      <c r="A266" s="6" t="inlineStr">
        <is>
          <t>Bảo lãnh</t>
        </is>
      </c>
      <c r="B266" s="6" t="inlineStr">
        <is>
          <t>Guarantee</t>
        </is>
      </c>
      <c r="C266" s="6" t="inlineStr">
        <is>
          <t>担保方</t>
        </is>
      </c>
      <c r="D266" s="6" t="inlineStr">
        <is>
          <t>擔保方</t>
        </is>
      </c>
    </row>
    <row r="267" customFormat="1" s="8">
      <c r="A267" s="6" t="inlineStr">
        <is>
          <t>Bất động sản đầu tư</t>
        </is>
      </c>
      <c r="B267" s="6" t="inlineStr">
        <is>
          <t>Investment property</t>
        </is>
      </c>
      <c r="C267" s="6" t="inlineStr">
        <is>
          <t>投资性不动产</t>
        </is>
      </c>
      <c r="D267" s="6" t="inlineStr">
        <is>
          <t>投資性不動產</t>
        </is>
      </c>
    </row>
    <row r="268" ht="69" customFormat="1" customHeight="1" s="8">
      <c r="A268" s="6" t="inlineStr">
        <is>
          <t>Bất động sản đầu tư được thể hiện theo nguyên giá bao gồm cả các chi phí giao dịch liên quan trừ đi giá trị hao mòn lũy kế.</t>
        </is>
      </c>
      <c r="B268" s="6" t="inlineStr">
        <is>
          <t>Investment property is stated at cost with associated transaction costs less accumulated depreciation.</t>
        </is>
      </c>
      <c r="C268" s="6" t="inlineStr">
        <is>
          <t>投资性不动产应以原始成本价减去累计折旧后的净值认列，而此成本价包含相关交易所有费用。</t>
        </is>
      </c>
      <c r="D268" s="6" t="inlineStr">
        <is>
          <t>投資性不動產應以原始成本價減去累計折舊後之淨值認列，而此成本價包含相關交易所有費用。</t>
        </is>
      </c>
    </row>
    <row r="269" ht="124.2" customFormat="1" customHeight="1" s="8">
      <c r="A269" s="6" t="inlineStr">
        <is>
          <t>Bất động sản đầu tư không còn được trình bày trong bảng cân đối kế toán sau khi đã bán hoặc sau khi bất động sản đầu tư đã không còn được sử dụng và xét thấy không thu được lợi ích kinh tế trong tương lai từ việc thanh lý bất động sản đầu tư đó.</t>
        </is>
      </c>
      <c r="B269" s="6" t="inlineStr">
        <is>
          <t>Investment property is no longer recorded in the balance sheet after being sold or no longer in use or when it is realized that no future economic benefit will come from disposal of the investment property.</t>
        </is>
      </c>
      <c r="C269" s="6" t="inlineStr">
        <is>
          <t>投资性不动产在出售或被闲置后，或者预期无法由处置产生未来经济利益时，应予除列（自资产负债表中删除）。</t>
        </is>
      </c>
      <c r="D269" s="6" t="inlineStr">
        <is>
          <t>投資性不動產在出售或被閒置後，或者預期無法由處分產生未來經濟利益時，應予除列（自資產負債表中刪除）。</t>
        </is>
      </c>
    </row>
    <row r="270" ht="55.2" customFormat="1" customHeight="1" s="8">
      <c r="A270" s="6" t="inlineStr">
        <is>
          <t>Bất động sản đầu tư không khấu hao là căn hộ chung cư chờ tăng giá để bán.</t>
        </is>
      </c>
      <c r="B270" s="6" t="inlineStr">
        <is>
          <t>The investment property, which is not depreciated, is an apartment held for capital appreciation and future sale.</t>
        </is>
      </c>
      <c r="C270" s="6" t="inlineStr">
        <is>
          <t>非折旧的投资性不动产，是指持有以待未来升值转售的公寓物业。</t>
        </is>
      </c>
      <c r="D270" s="6" t="inlineStr">
        <is>
          <t>非折舊的投資性不動產，是指持有以待未來升值轉售的公寓物業。</t>
        </is>
      </c>
    </row>
    <row r="271" customFormat="1" s="8">
      <c r="A271" s="6" t="inlineStr">
        <is>
          <t>Bên liên quan</t>
        </is>
      </c>
      <c r="B271" s="6" t="inlineStr">
        <is>
          <t>Related parties</t>
        </is>
      </c>
      <c r="C271" s="6" t="inlineStr">
        <is>
          <t>关联方</t>
        </is>
      </c>
      <c r="D271" s="6" t="inlineStr">
        <is>
          <t>關聯方</t>
        </is>
      </c>
    </row>
    <row r="272" customFormat="1" s="8">
      <c r="A272" s="6" t="inlineStr">
        <is>
          <t>Bên thứ ba</t>
        </is>
      </c>
      <c r="B272" s="6" t="inlineStr">
        <is>
          <t>Third parties</t>
        </is>
      </c>
      <c r="C272" s="6" t="inlineStr">
        <is>
          <t>第三方</t>
        </is>
      </c>
      <c r="D272" s="6" t="inlineStr">
        <is>
          <t>第三方</t>
        </is>
      </c>
    </row>
    <row r="273" customFormat="1" s="8">
      <c r="A273" s="6" t="inlineStr">
        <is>
          <t>Bị phạt thuế, truy thu thuế</t>
        </is>
      </c>
      <c r="B273" s="6" t="inlineStr">
        <is>
          <t>Tax penalties and arrears</t>
        </is>
      </c>
      <c r="C273" s="6" t="inlineStr">
        <is>
          <t>税收罚款、补征税款</t>
        </is>
      </c>
      <c r="D273" s="6" t="inlineStr">
        <is>
          <t>稅收罰款、補徵稅款</t>
        </is>
      </c>
    </row>
    <row r="274" ht="27.6" customFormat="1" customHeight="1" s="8">
      <c r="A274" s="6" t="inlineStr">
        <is>
          <t>Biến động các khoản vay dài hạn như sau:</t>
        </is>
      </c>
      <c r="B274" s="6" t="inlineStr">
        <is>
          <t>Increases, decreases in long-term borrowings are as follows:</t>
        </is>
      </c>
      <c r="C274" s="6" t="inlineStr">
        <is>
          <t>各项长期借款明细表：</t>
        </is>
      </c>
      <c r="D274" s="6" t="inlineStr">
        <is>
          <t>各項長期借款明細如下：</t>
        </is>
      </c>
    </row>
    <row r="275" ht="27.6" customFormat="1" customHeight="1" s="8">
      <c r="A275" s="6" t="inlineStr">
        <is>
          <t>Biến động các khoản vay ngắn hạn như sau:</t>
        </is>
      </c>
      <c r="B275" s="6" t="inlineStr">
        <is>
          <t>Increases, decreases in short-term borrowings are as follows:</t>
        </is>
      </c>
      <c r="C275" s="6" t="inlineStr">
        <is>
          <t>短期贷款变动情况如下：</t>
        </is>
      </c>
      <c r="D275" s="6" t="inlineStr">
        <is>
          <t>短期貸款變動情況如下：</t>
        </is>
      </c>
    </row>
    <row r="276" customFormat="1" s="8">
      <c r="A276" s="6" t="inlineStr">
        <is>
          <t>Biện pháp đảm bảo</t>
        </is>
      </c>
      <c r="B276" s="6" t="inlineStr">
        <is>
          <t>Form of guarantee</t>
        </is>
      </c>
      <c r="C276" s="6" t="inlineStr">
        <is>
          <t>担保方式</t>
        </is>
      </c>
      <c r="D276" s="6" t="inlineStr">
        <is>
          <t>擔保方式</t>
        </is>
      </c>
    </row>
    <row r="277" customFormat="1" s="8">
      <c r="A277" s="6" t="inlineStr">
        <is>
          <t>bổ nhiệm</t>
        </is>
      </c>
      <c r="B277" s="6" t="inlineStr">
        <is>
          <t>nominated</t>
        </is>
      </c>
      <c r="C277" s="6" t="inlineStr">
        <is>
          <t>任命</t>
        </is>
      </c>
      <c r="D277" s="6" t="inlineStr">
        <is>
          <t>接任</t>
        </is>
      </c>
    </row>
    <row r="278" customFormat="1" s="8">
      <c r="A278" s="6" t="inlineStr">
        <is>
          <t>Bổ nhiệm</t>
        </is>
      </c>
      <c r="B278" s="6" t="inlineStr">
        <is>
          <t>Nominated</t>
        </is>
      </c>
      <c r="C278" s="6" t="inlineStr">
        <is>
          <t>任命</t>
        </is>
      </c>
      <c r="D278" s="6" t="inlineStr">
        <is>
          <t>接任</t>
        </is>
      </c>
    </row>
    <row r="279" ht="27.6" customFormat="1" customHeight="1" s="8">
      <c r="A279" s="6" t="inlineStr">
        <is>
          <t>Bổ sung vốn lưu động</t>
        </is>
      </c>
      <c r="B279" s="6" t="inlineStr">
        <is>
          <t>To supplement the working capital</t>
        </is>
      </c>
      <c r="C279" s="6" t="inlineStr">
        <is>
          <t>补充流动资金</t>
        </is>
      </c>
      <c r="D279" s="6" t="inlineStr">
        <is>
          <t>補充流動資金</t>
        </is>
      </c>
    </row>
    <row r="280" ht="41.4" customFormat="1" customHeight="1" s="8">
      <c r="A280" s="6" t="inlineStr">
        <is>
          <t>Bổ sung vốn lưu động phục vụ hoạt động kinh doanh</t>
        </is>
      </c>
      <c r="B280" s="6" t="inlineStr">
        <is>
          <t>To supplement the working capital serving operating activities</t>
        </is>
      </c>
      <c r="C280" s="6" t="inlineStr">
        <is>
          <t>补充流动资金，用于生产经营活动</t>
        </is>
      </c>
      <c r="D280" s="6" t="inlineStr">
        <is>
          <t>補充流動資金，用於生產經營活動</t>
        </is>
      </c>
    </row>
    <row r="281" ht="27.6" customFormat="1" customHeight="1" s="8">
      <c r="A281" s="6" t="inlineStr">
        <is>
          <t>Bù đắp khoản lỗ của các năm trước</t>
        </is>
      </c>
      <c r="B281" s="6" t="inlineStr">
        <is>
          <t>Financing accumulated loss</t>
        </is>
      </c>
      <c r="C281" s="6" t="inlineStr">
        <is>
          <t>弥补以前年度的累计亏损</t>
        </is>
      </c>
      <c r="D281" s="6" t="inlineStr">
        <is>
          <t>彌補以前年度之累計虧損</t>
        </is>
      </c>
    </row>
    <row r="282" ht="138" customFormat="1" customHeight="1" s="8">
      <c r="A282" s="6" t="inlineStr">
        <is>
          <t>Các bên được coi là có liên quan nếu một bên có khả năng kiểm soát hoặc có ảnh hưởng đáng kể đối với bên kia trong việc ra quyết định các chính sách tài chính và hoạt động. Các bên cũng được xem là bên liên quan nếu cùng chịu sự kiểm soát chung hay chịu ảnh hưởng đáng kể chung.</t>
        </is>
      </c>
      <c r="B282" s="6" t="inlineStr">
        <is>
          <t>Parties are considered as related parties if the party is able to control or impact significantly on the other party in proposing decisions on financial and operation policies. Parties are also considered to be related if they are subject to same control or same significant influences.</t>
        </is>
      </c>
      <c r="C282" s="6" t="inlineStr">
        <is>
          <t>关联方乃在作出经营决策或财务决策过程中一方控制另一方或对另一方施加重大影响，以及两方或两方以上受同一方控制或受同一方施加重大影响的，构成关联方。</t>
        </is>
      </c>
      <c r="D282" s="6" t="inlineStr">
        <is>
          <t>關聯方乃在作出經營決策或財務決策過程中一方控制另一方或對另一方施加重大影響，以及兩方或兩方以上受同一方控制或受同一方施加重大影響的，構成關聯方。</t>
        </is>
      </c>
    </row>
    <row r="283" customFormat="1" s="8">
      <c r="A283" s="6" t="inlineStr">
        <is>
          <t>Các bên liên quan</t>
        </is>
      </c>
      <c r="B283" s="6" t="inlineStr">
        <is>
          <t>Related parties</t>
        </is>
      </c>
      <c r="C283" s="6" t="inlineStr">
        <is>
          <t>关联方</t>
        </is>
      </c>
      <c r="D283" s="6" t="inlineStr">
        <is>
          <t>關聯方</t>
        </is>
      </c>
    </row>
    <row r="284" ht="55.2" customFormat="1" customHeight="1" s="8">
      <c r="A284" s="6" t="inlineStr">
        <is>
          <t>Các cam kết về việc mua, bán tài sản cố định hữu hình có giá trị lớn trong tương lai</t>
        </is>
      </c>
      <c r="B284" s="6" t="inlineStr">
        <is>
          <t>Engagement of purchasing, selling tangible fixed assets carrying material value in the future</t>
        </is>
      </c>
      <c r="C284" s="6" t="inlineStr">
        <is>
          <t>价值较大的有形固定资产的未来买卖契约</t>
        </is>
      </c>
      <c r="D284" s="6" t="inlineStr">
        <is>
          <t>價值較大之有形固定資產之未來買賣契約</t>
        </is>
      </c>
    </row>
    <row r="285" ht="82.8" customFormat="1" customHeight="1" s="8">
      <c r="A285" s="6" t="inlineStr">
        <is>
          <t>Các chi phí liên quan đến các dự án dở dang được ghi nhận như khoản mục hàng tồn kho, trong đó bao gồm: chi phí nhân công trực tiếp và chi phí liên quan trực tiếp khác.</t>
        </is>
      </c>
      <c r="B285" s="6" t="inlineStr">
        <is>
          <t>Work in progress is recognized as inventory, including direct labor expenses and other relevant direct expenses.</t>
        </is>
      </c>
      <c r="C285" s="6" t="inlineStr">
        <is>
          <t>在制品（在制费用）存货的成本，应包括直接人工成本和其他相关直接成本。</t>
        </is>
      </c>
      <c r="D285" s="6" t="inlineStr">
        <is>
          <t>在製品（在制费用）存貨的成本，應包括直接人工成本和其他相關直接成本。</t>
        </is>
      </c>
    </row>
    <row r="286" ht="69" customFormat="1" customHeight="1" s="8">
      <c r="A286" s="6" t="inlineStr">
        <is>
          <t>Các chính sách kế toán chủ yếu được Công ty áp dụng trong việc lập Báo cáo tài chính như sau:</t>
        </is>
      </c>
      <c r="B286" s="6" t="inlineStr">
        <is>
          <t>The significant accounting policies have been adopted by the Company in the preparation of these financial statements as follows:</t>
        </is>
      </c>
      <c r="C286" s="6" t="inlineStr">
        <is>
          <t>公司在编制财务报表过程中所采用的重要会计政策如下：</t>
        </is>
      </c>
      <c r="D286" s="6" t="inlineStr">
        <is>
          <t>公司在編製財務報表過程中所採用的重要會計政策如下：</t>
        </is>
      </c>
    </row>
    <row r="287" ht="27.6" customFormat="1" customHeight="1" s="8">
      <c r="A287" s="6" t="inlineStr">
        <is>
          <t>Các chủ đầu tư của Công ty gồm:</t>
        </is>
      </c>
      <c r="B287" s="6" t="inlineStr">
        <is>
          <t>Investors of the Company are as follows:</t>
        </is>
      </c>
      <c r="C287" s="6" t="inlineStr">
        <is>
          <t>公司投资者包括：</t>
        </is>
      </c>
      <c r="D287" s="6" t="inlineStr">
        <is>
          <t>公司投資者包括：</t>
        </is>
      </c>
    </row>
    <row r="288" ht="27.6" customFormat="1" customHeight="1" s="8">
      <c r="A288" s="6" t="inlineStr">
        <is>
          <t>Các chủ sở hữu của Công ty gồm:</t>
        </is>
      </c>
      <c r="B288" s="6" t="inlineStr">
        <is>
          <t>Owners of the Company are as follows:</t>
        </is>
      </c>
      <c r="C288" s="6" t="inlineStr">
        <is>
          <t>公司所有者包括：</t>
        </is>
      </c>
      <c r="D288" s="6" t="inlineStr">
        <is>
          <t>公司所有者包括：</t>
        </is>
      </c>
    </row>
    <row r="289" ht="27.6" customFormat="1" customHeight="1" s="8">
      <c r="A289" s="6" t="inlineStr">
        <is>
          <t>Các cổ đông của Công ty gồm:</t>
        </is>
      </c>
      <c r="B289" s="6" t="inlineStr">
        <is>
          <t>Shareholders of the Company are as follows:</t>
        </is>
      </c>
      <c r="C289" s="6" t="inlineStr">
        <is>
          <t>公司股东包括：</t>
        </is>
      </c>
      <c r="D289" s="6" t="inlineStr">
        <is>
          <t>公司股東包括：</t>
        </is>
      </c>
    </row>
    <row r="290" customFormat="1" s="8">
      <c r="A290" s="6" t="inlineStr">
        <is>
          <t>Các giao dịch bằng ngoại tệ</t>
        </is>
      </c>
      <c r="B290" s="6" t="inlineStr">
        <is>
          <t>Foreign currency transactions</t>
        </is>
      </c>
      <c r="C290" s="6" t="inlineStr">
        <is>
          <t>以外币计价的交易</t>
        </is>
      </c>
      <c r="D290" s="6" t="inlineStr">
        <is>
          <t>以外幣計價之交易</t>
        </is>
      </c>
    </row>
    <row r="291" ht="41.4" customFormat="1" customHeight="1" s="8">
      <c r="A291" s="6" t="inlineStr">
        <is>
          <t>Các giao dịch không bằng tiền có ảnh hưởng đến báo cáo lưu chuyển tiền tệ</t>
        </is>
      </c>
      <c r="B291" s="6" t="inlineStr">
        <is>
          <t>Non-monetary transactions affecting the cash flow statement</t>
        </is>
      </c>
      <c r="C291" s="6" t="inlineStr">
        <is>
          <t>影响现金流量表的非现金交易</t>
        </is>
      </c>
      <c r="D291" s="6" t="inlineStr">
        <is>
          <t>影響現金流量表之非現金交易</t>
        </is>
      </c>
    </row>
    <row r="292" ht="41.4" customFormat="1" customHeight="1" s="8">
      <c r="A292" s="6" t="inlineStr">
        <is>
          <t>Các giao dịch trọng yếu có ảnh hưởng đến báo cáo lưu chuyển tiền tệ</t>
        </is>
      </c>
      <c r="B292" s="6" t="inlineStr">
        <is>
          <t>Significant transactions affecting the cash flow statement</t>
        </is>
      </c>
      <c r="C292" s="6" t="inlineStr">
        <is>
          <t>影响现金流量表的重大交易</t>
        </is>
      </c>
      <c r="D292" s="6" t="inlineStr">
        <is>
          <t>影響現金流量表之重大交易</t>
        </is>
      </c>
    </row>
    <row r="293" ht="124.2" customFormat="1" customHeight="1" s="8">
      <c r="A293" s="6" t="inlineStr">
        <is>
          <t>Các hình thức thuê mà không phải là thuê tài chính được phân loại là thuê hoạt động. Các chi phí thuê dưới hình thức thuê hoạt động được ghi nhận vào Báo cáo kết quả hoạt động kinh doanh theo phương pháp đường thẳng dựa trên thời hạn thuê.</t>
        </is>
      </c>
      <c r="B293" s="6" t="inlineStr">
        <is>
          <t>Leases other than financial lease are classified as operating leases. Rentals payable under operating leases are charged to income statement on a straight-line basis over the term of the relevant lease.</t>
        </is>
      </c>
      <c r="C293" s="6" t="inlineStr">
        <is>
          <t>非属融资租赁的租赁方式可归类为营业租赁。营业租赁的租金费用，应当按照租赁期限采用直线法列示在利润表。</t>
        </is>
      </c>
      <c r="D293" s="6" t="inlineStr">
        <is>
          <t>非屬融資租賃之租賃方式可歸類為營業租賃。營業租賃之租金費用，應當按照租賃期限採用直線法列示於損益表。</t>
        </is>
      </c>
    </row>
    <row r="294" customFormat="1" s="8">
      <c r="A294" s="6" t="inlineStr">
        <is>
          <t>Các khoản chi phí khác</t>
        </is>
      </c>
      <c r="B294" s="6" t="inlineStr">
        <is>
          <t>Other expenses</t>
        </is>
      </c>
      <c r="C294" s="6" t="inlineStr">
        <is>
          <t>其他费用</t>
        </is>
      </c>
      <c r="D294" s="6" t="inlineStr">
        <is>
          <t>其他費用</t>
        </is>
      </c>
    </row>
    <row r="295" ht="151.8" customFormat="1" customHeight="1" s="8">
      <c r="A295" s="6" t="inlineStr">
        <is>
          <t>Các khoản chi phí liên quan đến bất động sản đầu tư phát sinh sau ghi nhận ban đầu được hạch toán vào giá trị còn lại của bất động sản đầu tư khi Công ty có khả năng thu được các lợi ích kinh tế trong tương lai nhiều hơn mức hoạt động được đánh giá ban đầu của bất động sản đầu tư đó.</t>
        </is>
      </c>
      <c r="B295" s="6" t="inlineStr">
        <is>
          <t>Subsequent expenditure relating to an investment property that has already been recognized is added to the net book value of the investment property when it is probable that future economic benefits, in excess of the originally assessed standard of performance of the existing investment property, will flow to the Company.</t>
        </is>
      </c>
      <c r="C295" s="6" t="inlineStr">
        <is>
          <t>在原始认列后，投资性不动产后续支出仅在确定使该不动产带来未来经济利益超过原始评估价值时列入投资性不动产的剩余价值。</t>
        </is>
      </c>
      <c r="D295" s="6" t="inlineStr">
        <is>
          <t>在原始認列後，投資性不動產後續支出僅在確定使該不動產帶來未來經濟利益超過原始評估價值時列入投資性不動產之剩餘價值。</t>
        </is>
      </c>
    </row>
    <row r="296" customFormat="1" s="8">
      <c r="A296" s="6" t="inlineStr">
        <is>
          <t>Các khoản cho vay</t>
        </is>
      </c>
      <c r="B296" s="6" t="inlineStr">
        <is>
          <t>Loans</t>
        </is>
      </c>
      <c r="C296" s="6" t="inlineStr">
        <is>
          <t>各项放款</t>
        </is>
      </c>
      <c r="D296" s="6" t="inlineStr">
        <is>
          <t>各項放款</t>
        </is>
      </c>
    </row>
    <row r="297" ht="27.6" customFormat="1" customHeight="1" s="8">
      <c r="A297" s="6" t="inlineStr">
        <is>
          <t>Các khoản đặt cọc ngắn hạn khác</t>
        </is>
      </c>
      <c r="B297" s="6" t="inlineStr">
        <is>
          <t>Other short-term deposits</t>
        </is>
      </c>
      <c r="C297" s="6" t="inlineStr">
        <is>
          <t>短期保证金</t>
        </is>
      </c>
      <c r="D297" s="6" t="inlineStr">
        <is>
          <t>短期保證金</t>
        </is>
      </c>
    </row>
    <row r="298" customFormat="1" s="8">
      <c r="A298" s="6" t="inlineStr">
        <is>
          <t>Các khoản đặt cọc dài hạn khác</t>
        </is>
      </c>
      <c r="B298" s="6" t="inlineStr">
        <is>
          <t>Other long-term deposits</t>
        </is>
      </c>
      <c r="C298" s="6" t="inlineStr">
        <is>
          <t>其他长期押金</t>
        </is>
      </c>
      <c r="D298" s="6" t="inlineStr">
        <is>
          <t>其他長期押金</t>
        </is>
      </c>
    </row>
    <row r="299" ht="69" customFormat="1" customHeight="1" s="8">
      <c r="A299" s="6" t="inlineStr">
        <is>
          <t>Các khoản đầu tư nắm giữ đến ngày đáo hạn bao gồm tiền gửi ngân hàng có kỳ hạn nắm giữ đến ngày đáo hạn với mục đích thu lãi hàng kỳ.</t>
        </is>
      </c>
      <c r="B299" s="6" t="inlineStr">
        <is>
          <t>Held-to-maturity investments are term deposits held to maturity to earn periodic interest.</t>
        </is>
      </c>
      <c r="C299" s="6" t="inlineStr">
        <is>
          <t>「持有至到期投资」包含银行定期存款，指企业为定期收取利息收益，并有明确意图与能力持有至到期日的投资。</t>
        </is>
      </c>
      <c r="D299" s="6" t="inlineStr">
        <is>
          <t>「持有至到期投資」包含銀行定期存款，係企業為定期收取利息收益，並有明確意圖與能力持有至到期日的投資。</t>
        </is>
      </c>
    </row>
    <row r="300" ht="41.4" customFormat="1" customHeight="1" s="8">
      <c r="A300" s="6" t="inlineStr">
        <is>
          <t>Các khoản đầu tư nắm giữ đến ngày đáo hạn bao gồm tiền gửi ngân hàng có kỳ hạn.</t>
        </is>
      </c>
      <c r="B300" s="6" t="inlineStr">
        <is>
          <t>Held-to-maturity investments are term deposits.</t>
        </is>
      </c>
      <c r="C300" s="6" t="inlineStr">
        <is>
          <t>持有至到期投资包含银行定期存款、债券。</t>
        </is>
      </c>
      <c r="D300" s="6" t="inlineStr">
        <is>
          <t>持有至到期投資包含銀行定期存款、債券。</t>
        </is>
      </c>
    </row>
    <row r="301" ht="234.6" customFormat="1" customHeight="1" s="8">
      <c r="A301" s="6" t="inlineStr">
        <is>
          <t>Các khoản đầu tư nắm giữ đến ngày đáo hạn được ghi nhận ban đầu theo giá gốc bao gồm giá mua và các chi phí liên quan đến giao dịch mua các khoản đầu tư. Sau khi ghi nhận ban đầu, các khoản đầu tư này được ghi nhận theo giá trị có thể thu hồi. Khi có các bằng chứng chắc chắn cho thấy một phần hoặc toàn bộ khoản đầu tư có thể không thu hồi được và số tổn thất được xác định một cách đáng tin cậy thì tổn thất được ghi nhận vào chi phí tài chính trong kỳ và giảm trừ trực tiếp giá trị đầu tư.</t>
        </is>
      </c>
      <c r="B301" s="6" t="inlineStr">
        <is>
          <t>Held-to-maturity investments are initially recognised at historical costs including buying prices plus costs related to transactions of acquisition of the investments. After initial recognition, these investments are recorded at recoverable value. If it is evident that a part or all of investment is unable to recover and it is reliable to determine the losses, then the losses are recorded into the financial expenses in the fiscal year and directly deducted against the investment value.</t>
        </is>
      </c>
      <c r="C301" s="6" t="inlineStr">
        <is>
          <t>持有至到期投资以原始成本（原价）认列，其成本包含购买价款加计相关费用。在原始认列后，各项投资再以可回收金额认列。若有充分证据显示全部或部分投资可能无法收回，且其损失金额得以可靠计量，则该损失应直接列入当期财务费用，同时直接列为投资减值。</t>
        </is>
      </c>
      <c r="D301" s="6" t="inlineStr">
        <is>
          <t>持有至到期投資以原始成本（原價）認列，其成本包含購買價款加計相關費用。在原始認列後，各項投資再以可回收金額認列。若有充分證據顯示全部或部分投資可能無法收回，且其損失金額得以可靠計量，則該損失應直接列入當期財務費用，同時直接列為投資減值。</t>
        </is>
      </c>
    </row>
    <row r="302" ht="55.2" customFormat="1" customHeight="1" s="8">
      <c r="A302" s="6" t="inlineStr">
        <is>
          <t>Các khoản đầu tư nắm giữ đến ngày đáo hạn là khoản cho vay nắm giữ đến ngày đáo hạn với mục đích thu lãi hàng kỳ.</t>
        </is>
      </c>
      <c r="B302" s="6" t="inlineStr">
        <is>
          <t>Held-to-maturity investments are loans held to maturity to earn periodic interest.</t>
        </is>
      </c>
      <c r="C302" s="6" t="inlineStr">
        <is>
          <t>持有至到期投资是指持有至到期以获取固定利息收入的贷款。</t>
        </is>
      </c>
      <c r="D302" s="6" t="inlineStr">
        <is>
          <t>持有至到期投資是指持有至到期以獲取固定利息收入的貸款。</t>
        </is>
      </c>
    </row>
    <row r="303" customFormat="1" s="8">
      <c r="A303" s="6" t="inlineStr">
        <is>
          <t>Các khoản đầu tư tài chính</t>
        </is>
      </c>
      <c r="B303" s="6" t="inlineStr">
        <is>
          <t>Financial investments</t>
        </is>
      </c>
      <c r="C303" s="6" t="inlineStr">
        <is>
          <t>金融性投资</t>
        </is>
      </c>
      <c r="D303" s="6" t="inlineStr">
        <is>
          <t>金融性投資</t>
        </is>
      </c>
    </row>
    <row r="304" ht="27.6" customFormat="1" customHeight="1" s="8">
      <c r="A304" s="6" t="inlineStr">
        <is>
          <t>Các khoản đầu tư tài chính dài hạn</t>
        </is>
      </c>
      <c r="B304" s="6" t="inlineStr">
        <is>
          <t>Long-term financial investments</t>
        </is>
      </c>
      <c r="C304" s="6" t="inlineStr">
        <is>
          <t>长期金融性投资</t>
        </is>
      </c>
      <c r="D304" s="6" t="inlineStr">
        <is>
          <t>長期金融性投資</t>
        </is>
      </c>
    </row>
    <row r="305" ht="27.6" customFormat="1" customHeight="1" s="8">
      <c r="A305" s="6" t="inlineStr">
        <is>
          <t>Các khoản đầu tư tài chính ngắn hạn</t>
        </is>
      </c>
      <c r="B305" s="6" t="inlineStr">
        <is>
          <t>Short-term financial investments</t>
        </is>
      </c>
      <c r="C305" s="6" t="inlineStr">
        <is>
          <t>短期金融性投资</t>
        </is>
      </c>
      <c r="D305" s="6" t="inlineStr">
        <is>
          <t>短期金融性投資</t>
        </is>
      </c>
    </row>
    <row r="306" ht="27.6" customFormat="1" customHeight="1" s="8">
      <c r="A306" s="6" t="inlineStr">
        <is>
          <t>Các khoản đầu tư vào công ty con</t>
        </is>
      </c>
      <c r="B306" s="6" t="inlineStr">
        <is>
          <t>Investments in subsidiaries</t>
        </is>
      </c>
      <c r="C306" s="6" t="inlineStr">
        <is>
          <t>投资子公司</t>
        </is>
      </c>
      <c r="D306" s="6" t="inlineStr">
        <is>
          <t>投資子公司</t>
        </is>
      </c>
    </row>
    <row r="307" ht="151.8" customFormat="1" customHeight="1" s="8">
      <c r="A307" s="6" t="inlineStr">
        <is>
          <t>Các khoản đầu tư vào công ty con được ghi nhận ban đầu theo giá gốc, bao gồm giá mua hoặc khoản góp vốn cộng các chi phí liên quan trực tiếp đến việc đầu tư. Trường hợp đầu tư bằng tài sản phi tiền tệ, giá phí khoản đầu tư được ghi nhận theo giá trị hợp lý của tài sản phi tiền tệ tại thời điểm phát sinh.</t>
        </is>
      </c>
      <c r="B307" s="6" t="inlineStr">
        <is>
          <t>Investments in subsidiaries are initially recognized at historical costs including buying prices or contributed capital value plus costs directly related to the investments. In the case of investments by non-monetary assets, investment costs are recognized according to the fair value of the non-monetary assets at the arising time.</t>
        </is>
      </c>
      <c r="C307" s="6" t="inlineStr">
        <is>
          <t>对子公司的投资以原始成本（原价）认列，其成本包含购买价款或投资资金加计与投资项目有直接关联的其他费用。若以非货币性资产投资，则投资成本应以非货币性资产于发生投资时的公允价值认列。</t>
        </is>
      </c>
      <c r="D307" s="6" t="inlineStr">
        <is>
          <t>對子公司之投資以原始成本（原價）認列，其成本包含購買價款或投資資金加計與投資項目有直接關聯的其他費用。若以非貨幣性資產投資，則投資成本應以非貨幣性資產於發生投資時之公允價值認列。</t>
        </is>
      </c>
    </row>
    <row r="308" ht="27.6" customFormat="1" customHeight="1" s="8">
      <c r="A308" s="6" t="inlineStr">
        <is>
          <t>Các khoản đầu tư vào công ty con, công ty liên doanh, liên kết</t>
        </is>
      </c>
      <c r="B308" s="6" t="inlineStr">
        <is>
          <t>Investments in subsidiaries, joint ventures, associates</t>
        </is>
      </c>
      <c r="C308" s="6" t="inlineStr">
        <is>
          <t>投资子公司或投资关联企业及合资</t>
        </is>
      </c>
      <c r="D308" s="6" t="inlineStr">
        <is>
          <t>投資子公司或投資關聯企業及合資</t>
        </is>
      </c>
    </row>
    <row r="309" ht="179.4" customFormat="1" customHeight="1" s="8">
      <c r="A309" s="6" t="inlineStr">
        <is>
          <t>Các khoản đầu tư vào công ty con, công ty liên doanh, liên kết được ghi nhận ban đầu theo giá gốc, bao gồm giá mua hoặc khoản góp vốn cộng các chi phí liên quan trực tiếp đến việc đầu tư. Trường hợp đầu tư bằng tài sản phi tiền tệ, giá phí khoản đầu tư được ghi nhận theo giá trị hợp lý của tài sản phi tiền tệ tại thời điểm phát sinh.</t>
        </is>
      </c>
      <c r="B309" s="6" t="inlineStr">
        <is>
          <t>Investments in subsidiaries, joint ventures, associates are initially recognized at historical costs including buying prices or contributed capital value plus costs directly related to the investments. In case of investments by non-monetary assets, investment costs are recognized according to the reasonable value of the non-monetary assets at the arising time.</t>
        </is>
      </c>
      <c r="C309" s="6" t="inlineStr">
        <is>
          <t>对子公司或投资关联企业及合资的投资以原始成本（原价）认列，其成本包含购买价款或投资资金加计与投资项目有直接关联的其他费用。若以非货币性资产投资，则投资成本应以非货币性资产于发生投资时的公允价值认列。</t>
        </is>
      </c>
      <c r="D309" s="6" t="inlineStr">
        <is>
          <t>對子公司或投資關聯企業及合資之投資以原始成本（原價）認列，其成本包含購買價款或投資資金加計與投資項目有直接關聯的其他費用。若以非貨幣性資產投資，則投資成本應以非貨幣性資產於發生投資時之公允價值認列。</t>
        </is>
      </c>
    </row>
    <row r="310" customFormat="1" s="8">
      <c r="A310" s="6" t="inlineStr">
        <is>
          <t>Các khoản điều chỉnh khác</t>
        </is>
      </c>
      <c r="B310" s="6" t="inlineStr">
        <is>
          <t>Other adjustments</t>
        </is>
      </c>
      <c r="C310" s="6" t="inlineStr">
        <is>
          <t>其他调整</t>
        </is>
      </c>
      <c r="D310" s="6" t="inlineStr">
        <is>
          <t>其他調整</t>
        </is>
      </c>
    </row>
    <row r="311" customFormat="1" s="8">
      <c r="A311" s="6" t="inlineStr">
        <is>
          <t>Các khoản dự phòng</t>
        </is>
      </c>
      <c r="B311" s="6" t="inlineStr">
        <is>
          <t>Provisions</t>
        </is>
      </c>
      <c r="C311" s="6" t="inlineStr">
        <is>
          <t>各项准备金（备抵）</t>
        </is>
      </c>
      <c r="D311" s="6" t="inlineStr">
        <is>
          <t>各項準備金（備抵）</t>
        </is>
      </c>
    </row>
    <row r="312" customFormat="1" s="8">
      <c r="A312" s="6" t="inlineStr">
        <is>
          <t>Các khoản giảm trừ doanh thu</t>
        </is>
      </c>
      <c r="B312" s="6" t="inlineStr">
        <is>
          <t>Sales deductions</t>
        </is>
      </c>
      <c r="C312" s="6" t="inlineStr">
        <is>
          <t>抵减项目</t>
        </is>
      </c>
      <c r="D312" s="6" t="inlineStr">
        <is>
          <t>抵減項目</t>
        </is>
      </c>
    </row>
    <row r="313" customFormat="1" s="8">
      <c r="A313" s="6" t="inlineStr">
        <is>
          <t>Các khoản khác</t>
        </is>
      </c>
      <c r="B313" s="6" t="inlineStr">
        <is>
          <t>Others</t>
        </is>
      </c>
      <c r="C313" s="6" t="inlineStr">
        <is>
          <t>其他长期预付费用</t>
        </is>
      </c>
      <c r="D313" s="6" t="inlineStr">
        <is>
          <t>其他長期預付費用</t>
        </is>
      </c>
    </row>
    <row r="314" ht="27.6" customFormat="1" customHeight="1" s="8">
      <c r="A314" s="6" t="inlineStr">
        <is>
          <t>Các khoản khác phải nộp Nhà nước</t>
        </is>
      </c>
      <c r="B314" s="6" t="inlineStr">
        <is>
          <t>Others</t>
        </is>
      </c>
      <c r="C314" s="6" t="inlineStr">
        <is>
          <t>其他应交款</t>
        </is>
      </c>
      <c r="D314" s="6" t="inlineStr">
        <is>
          <t>其他應交款</t>
        </is>
      </c>
    </row>
    <row r="315" customFormat="1" s="8">
      <c r="A315" s="6" t="inlineStr">
        <is>
          <t>Các khoản ký quỹ khác</t>
        </is>
      </c>
      <c r="B315" s="6" t="inlineStr">
        <is>
          <t>Other deposits</t>
        </is>
      </c>
      <c r="C315" s="6" t="inlineStr">
        <is>
          <t>其他保证金</t>
        </is>
      </c>
      <c r="D315" s="6" t="inlineStr">
        <is>
          <t>其他保證金</t>
        </is>
      </c>
    </row>
    <row r="316" ht="27.6" customFormat="1" customHeight="1" s="8">
      <c r="A316" s="6" t="inlineStr">
        <is>
          <t>Các khoản ký quỹ, ký cược dài hạn</t>
        </is>
      </c>
      <c r="B316" s="6" t="inlineStr">
        <is>
          <t>Long-term deposits and mortgages</t>
        </is>
      </c>
      <c r="C316" s="6" t="inlineStr">
        <is>
          <t>长期保证金</t>
        </is>
      </c>
      <c r="D316" s="6" t="inlineStr">
        <is>
          <t>長期保證金</t>
        </is>
      </c>
    </row>
    <row r="317" ht="27.6" customFormat="1" customHeight="1" s="8">
      <c r="A317" s="6" t="inlineStr">
        <is>
          <t>Các khoản ký quỹ, ký cược ngắn hạn</t>
        </is>
      </c>
      <c r="B317" s="6" t="inlineStr">
        <is>
          <t>Short-term deposits and mortgages</t>
        </is>
      </c>
      <c r="C317" s="6" t="inlineStr">
        <is>
          <t>短期保证金</t>
        </is>
      </c>
      <c r="D317" s="6" t="inlineStr">
        <is>
          <t>短期保證金</t>
        </is>
      </c>
    </row>
    <row r="318" ht="27.6" customFormat="1" customHeight="1" s="8">
      <c r="A318" s="6" t="inlineStr">
        <is>
          <t>Các khoản mục ngoài Bảng Cân đối kế toán</t>
        </is>
      </c>
      <c r="B318" s="6" t="inlineStr">
        <is>
          <t>Off-balance-sheet items</t>
        </is>
      </c>
      <c r="C318" s="6" t="inlineStr">
        <is>
          <t>资产负债表的表外项目</t>
        </is>
      </c>
      <c r="D318" s="6" t="inlineStr">
        <is>
          <t>資產負債表的表外項目</t>
        </is>
      </c>
    </row>
    <row r="319" customFormat="1" s="8">
      <c r="A319" s="6" t="inlineStr">
        <is>
          <t>Các khoản phải thu</t>
        </is>
      </c>
      <c r="B319" s="6" t="inlineStr">
        <is>
          <t>Receivables</t>
        </is>
      </c>
      <c r="C319" s="6" t="inlineStr">
        <is>
          <t>应收帐款</t>
        </is>
      </c>
      <c r="D319" s="6" t="inlineStr">
        <is>
          <t>應收帳款</t>
        </is>
      </c>
    </row>
    <row r="320" customFormat="1" s="8">
      <c r="A320" s="6" t="inlineStr">
        <is>
          <t>Các khoản phải thu dài hạn</t>
        </is>
      </c>
      <c r="B320" s="6" t="inlineStr">
        <is>
          <t>Long-term receivables</t>
        </is>
      </c>
      <c r="C320" s="6" t="inlineStr">
        <is>
          <t>长期应收帐款</t>
        </is>
      </c>
      <c r="D320" s="6" t="inlineStr">
        <is>
          <t>長期應收帳款</t>
        </is>
      </c>
    </row>
    <row r="321" ht="27.6" customFormat="1" customHeight="1" s="8">
      <c r="A321" s="6" t="inlineStr">
        <is>
          <t>Các khoản phải thu khách hàng và phải thu khác</t>
        </is>
      </c>
      <c r="B321" s="6" t="inlineStr">
        <is>
          <t>Trade accounts receivable and other receivables</t>
        </is>
      </c>
      <c r="C321" s="6" t="inlineStr">
        <is>
          <t>应收帐款及其他应收款</t>
        </is>
      </c>
      <c r="D321" s="6" t="inlineStr">
        <is>
          <t>應收帳款及其他應收款</t>
        </is>
      </c>
    </row>
    <row r="322" customFormat="1" s="8">
      <c r="A322" s="6" t="inlineStr">
        <is>
          <t>Các khoản phải thu ngắn hạn</t>
        </is>
      </c>
      <c r="B322" s="6" t="inlineStr">
        <is>
          <t>Short-term accounts receivable</t>
        </is>
      </c>
      <c r="C322" s="6" t="inlineStr">
        <is>
          <t>短期应收帐款</t>
        </is>
      </c>
      <c r="D322" s="6" t="inlineStr">
        <is>
          <t>短期應收帳款</t>
        </is>
      </c>
    </row>
    <row r="323" ht="96.59999999999999" customFormat="1" customHeight="1" s="8">
      <c r="A323" s="6" t="inlineStr">
        <is>
          <t>Các khoản phải thu phản ánh số tiền còn phải thu từ khách hàng và phải thu khác, được trình bày theo giá trị ghi sổ sau khi đã ghi giảm do các khoản dự phòng phải thu khó đòi (nếu có).</t>
        </is>
      </c>
      <c r="B323" s="6" t="inlineStr">
        <is>
          <t>Receivables reflect the amounts which shall be receivable from customers and others, which are presented at net book value as reduced by provision for doubtful debts (if any).</t>
        </is>
      </c>
      <c r="C323" s="6" t="inlineStr">
        <is>
          <t>应收帐款包含未从客户收回的应收款项和其他应收款，且以冲减各项坏帐准备（备抵呆账）后剩下的账面金额列报（若有）。</t>
        </is>
      </c>
      <c r="D323" s="6" t="inlineStr">
        <is>
          <t>應收帳款包含未從客戶收回之應收款項以及其他應收款，且以沖減各項壞帳準備（備抵呆帳）後剩下之帳面金額列報（若有）。</t>
        </is>
      </c>
    </row>
    <row r="324" ht="82.8" customFormat="1" customHeight="1" s="8">
      <c r="A324" s="6" t="inlineStr">
        <is>
          <t>Các khoản phải thu phản ánh số tiền còn phải thu từ khách hàng và phải thu khác, được trình bày theo giá trị ghi sổ sau khi đã ghi giảm do các khoản dự phòng phải thu khó đòi.</t>
        </is>
      </c>
      <c r="B324" s="6" t="inlineStr">
        <is>
          <t>Receivables reflect the amounts which shall be receivable from customers and others, which are presented at net book value as reduced by provision for doubtful debts.</t>
        </is>
      </c>
      <c r="C324" s="6" t="inlineStr">
        <is>
          <t>应收帐款包含未从客户收回的应收款项和其他应收款，且以冲减各项坏帐准备（备抵呆账）后剩下的账面金额列报。</t>
        </is>
      </c>
      <c r="D324" s="6" t="inlineStr">
        <is>
          <t>應收帳款包含未從客戶收回之應收款項以及其他應收款，且以沖減各項壞帳準備（備抵呆帳）後剩下之帳面金額列報。</t>
        </is>
      </c>
    </row>
    <row r="325" ht="55.2" customFormat="1" customHeight="1" s="8">
      <c r="A325" s="6" t="inlineStr">
        <is>
          <t>Các khoản phải thu phản ánh số tiền còn phải thu từ khách hàng và phải thu khác.</t>
        </is>
      </c>
      <c r="B325" s="6" t="inlineStr">
        <is>
          <t>Receivables reflect the amounts which shall be receivable from customers and other receivables.</t>
        </is>
      </c>
      <c r="C325" s="6" t="inlineStr">
        <is>
          <t>应收帐款包含未从客户收回的应收款项和其他应收款。</t>
        </is>
      </c>
      <c r="D325" s="6" t="inlineStr">
        <is>
          <t>應收帳款包含未從客戶收回之應收款項以及其他應收款。</t>
        </is>
      </c>
    </row>
    <row r="326" ht="27.6" customFormat="1" customHeight="1" s="8">
      <c r="A326" s="6" t="inlineStr">
        <is>
          <t>Các khoản phải trả và chi phí phải trả</t>
        </is>
      </c>
      <c r="B326" s="6" t="inlineStr">
        <is>
          <t>Payables and accrued expenses</t>
        </is>
      </c>
      <c r="C326" s="6" t="inlineStr">
        <is>
          <t>应付帐款及应付费用</t>
        </is>
      </c>
      <c r="D326" s="6" t="inlineStr">
        <is>
          <t>應付帳款及應付費用</t>
        </is>
      </c>
    </row>
    <row r="327" ht="124.2" customFormat="1" customHeight="1" s="8">
      <c r="A327" s="6" t="inlineStr">
        <is>
          <t>Các khoản phải trả và chi phí phải trả được ghi nhận cho số tiền phải trả trong tương lai liên quan đến hàng hóa đã được mua và dịch vụ đã được sử dụng mà không phụ thuộc vào việc Công ty đã nhận được hóa đơn của nhà cung cấp hay chưa.</t>
        </is>
      </c>
      <c r="B327" s="6" t="inlineStr">
        <is>
          <t>Payables and accrued expenses are recognized for amounts which shall be paid in the future related to the goods purchased and the services utilized, irrespective of whether the Company has received the invoices from the suppliers or not.</t>
        </is>
      </c>
      <c r="C327" s="6" t="inlineStr">
        <is>
          <t>应付帐款及应付费用，应以与已购买资产及已使用劳务有关的未来应付金额认列，而不取决于公司是否收到由供货商开立的相关发票。</t>
        </is>
      </c>
      <c r="D327" s="6" t="inlineStr">
        <is>
          <t>應付帳款及應付費用，應以與已購買資產及已使用勞務有關的未來應付金額認列，而不取決於公司是否收到由供應商開立之相關發票。</t>
        </is>
      </c>
    </row>
    <row r="328" customFormat="1" s="8">
      <c r="A328" s="6" t="inlineStr">
        <is>
          <t>Các khoản thu nhập khác</t>
        </is>
      </c>
      <c r="B328" s="6" t="inlineStr">
        <is>
          <t>Other income</t>
        </is>
      </c>
      <c r="C328" s="6" t="inlineStr">
        <is>
          <t>其他所得</t>
        </is>
      </c>
      <c r="D328" s="6" t="inlineStr">
        <is>
          <t>其他所得</t>
        </is>
      </c>
    </row>
    <row r="329" ht="27.6" customFormat="1" customHeight="1" s="8">
      <c r="A329" s="6" t="inlineStr">
        <is>
          <t>Các khoản tiền do Công ty nắm giữ nhưng không được sử dụng</t>
        </is>
      </c>
      <c r="B329" s="6" t="inlineStr">
        <is>
          <t>Unutilized monetary amounts held by the Company</t>
        </is>
      </c>
      <c r="C329" s="6" t="inlineStr">
        <is>
          <t>公司所持有但不可动用的现金</t>
        </is>
      </c>
      <c r="D329" s="6" t="inlineStr">
        <is>
          <t>公司所持有但不可動用之現金</t>
        </is>
      </c>
    </row>
    <row r="330" customFormat="1" s="8">
      <c r="A330" s="6" t="inlineStr">
        <is>
          <t>Các khoản tương đương tiền</t>
        </is>
      </c>
      <c r="B330" s="6" t="inlineStr">
        <is>
          <t>Cash equivalents</t>
        </is>
      </c>
      <c r="C330" s="6" t="inlineStr">
        <is>
          <t>现金等价物</t>
        </is>
      </c>
      <c r="D330" s="6" t="inlineStr">
        <is>
          <t>約當現金</t>
        </is>
      </c>
    </row>
    <row r="331" ht="27.6" customFormat="1" customHeight="1" s="8">
      <c r="A331" s="6" t="inlineStr">
        <is>
          <t>Các khoản vay dài hạn này được hoàn trả như sau:</t>
        </is>
      </c>
      <c r="B331" s="6" t="inlineStr">
        <is>
          <t>The long-term borrowings are repayable as follows:</t>
        </is>
      </c>
      <c r="C331" s="6" t="inlineStr">
        <is>
          <t>长期借款的偿还如下：</t>
        </is>
      </c>
      <c r="D331" s="6" t="inlineStr">
        <is>
          <t>長期借款的償還如下：</t>
        </is>
      </c>
    </row>
    <row r="332" customFormat="1" s="8">
      <c r="A332" s="6" t="inlineStr">
        <is>
          <t>Các khoản vay và nợ</t>
        </is>
      </c>
      <c r="B332" s="6" t="inlineStr">
        <is>
          <t>Borrowings and liabilities</t>
        </is>
      </c>
      <c r="C332" s="6" t="inlineStr">
        <is>
          <t>各项借款及债款</t>
        </is>
      </c>
      <c r="D332" s="6" t="inlineStr">
        <is>
          <t>各項借款及債款</t>
        </is>
      </c>
    </row>
    <row r="333" ht="41.4" customFormat="1" customHeight="1" s="8">
      <c r="A333" s="6" t="inlineStr">
        <is>
          <t>Các kỳ kế toán sau sẽ bắt đầu từ ngày 01 tháng 01 và kết thúc vào ngày 31 tháng 12.</t>
        </is>
      </c>
      <c r="B333" s="6" t="inlineStr">
        <is>
          <t>The fiscal years after are from January 01 to December 31.</t>
        </is>
      </c>
      <c r="C333" s="6" t="inlineStr">
        <is>
          <t>后续年度将自01月01日起至同年12月31日止。</t>
        </is>
      </c>
      <c r="D333" s="6" t="inlineStr">
        <is>
          <t>後續年度將自01月01日起至同年12月31日止。</t>
        </is>
      </c>
    </row>
    <row r="334" ht="27.6" customFormat="1" customHeight="1" s="8">
      <c r="A334" s="6" t="inlineStr">
        <is>
          <t>Các kỳ kế toán sau sẽ bắt đầu từ</t>
        </is>
      </c>
      <c r="B334" s="6" t="inlineStr">
        <is>
          <t>The fiscal years after are from</t>
        </is>
      </c>
      <c r="C334" s="6" t="inlineStr">
        <is>
          <t>后续年度将</t>
        </is>
      </c>
      <c r="D334" s="6" t="inlineStr">
        <is>
          <t>後續年度將</t>
        </is>
      </c>
    </row>
    <row r="335" customFormat="1" s="8">
      <c r="A335" s="6" t="inlineStr">
        <is>
          <t>Các loại thuế khác</t>
        </is>
      </c>
      <c r="B335" s="6" t="inlineStr">
        <is>
          <t>Other taxes</t>
        </is>
      </c>
      <c r="C335" s="6" t="inlineStr">
        <is>
          <t>其他税捐</t>
        </is>
      </c>
      <c r="D335" s="6" t="inlineStr">
        <is>
          <t>其他稅捐</t>
        </is>
      </c>
    </row>
    <row r="336" ht="41.4" customFormat="1" customHeight="1" s="8">
      <c r="A336" s="6" t="inlineStr">
        <is>
          <t>Các loại thuế khác được áp dụng theo các luật thuế hiện hành tại Việt Nam.</t>
        </is>
      </c>
      <c r="B336" s="6" t="inlineStr">
        <is>
          <t>Other taxes are applied in accordance with the prevailing tax laws of Vietnam.</t>
        </is>
      </c>
      <c r="C336" s="6" t="inlineStr">
        <is>
          <t>其他税捐依据越南现行税务法执行。</t>
        </is>
      </c>
      <c r="D336" s="6" t="inlineStr">
        <is>
          <t>其他稅捐依據越南現行稅務法執行。</t>
        </is>
      </c>
    </row>
    <row r="337" ht="179.4" customFormat="1" customHeight="1" s="8">
      <c r="A337" s="6" t="inlineStr">
        <is>
          <t>Các nghiệp vụ phát sinh trong năm không phải là USD được quy đổi sang USD theo tỷ giá giao dịch thực tế là tỷ giá xấp xỉ với tỷ giá mua bán chuyển khoản trung bình của ngân hàng thương mại nơi doanh nghiệp thường xuyên có giao dịch. Tỷ giá xấp xỉ chênh lệch không vượt quá +/-1% so với tỷ giá mua bán chuyển khoản trung bình.</t>
        </is>
      </c>
      <c r="B337" s="6" t="inlineStr">
        <is>
          <t>Transactions which are not in USD are translated into USD at the real exchange rates as the one which approximates the average transfer selling and buying rate of the commercial bank where the Company has regular transactions. The approximate exchange rate must ensure its difference does not exceed +/-1% compared with the average transfer selling and buying rate.</t>
        </is>
      </c>
      <c r="C337" s="6" t="inlineStr">
        <is>
          <t>年度内非以美元计价的经济交易应以公司经常交易往来的的商业银行公布的电汇买卖平均价（汇率）的近似汇率折算为美元。近似汇率与平均买卖电汇汇率相差幅度不超过+/-1%。</t>
        </is>
      </c>
      <c r="D337" s="6" t="inlineStr">
        <is>
          <t>年度內非以美元計價之經濟交易應以公司經常交易往來的的商業銀行公佈的電匯買賣平均價（匯率）的近似匯率折算為美元。近似匯率與平均買賣電匯匯率相差幅度不超過+/-1%。</t>
        </is>
      </c>
    </row>
    <row r="338" ht="96.59999999999999" customFormat="1" customHeight="1" s="8">
      <c r="A338" s="6" t="inlineStr">
        <is>
          <t>Các nghiệp vụ phát sinh trong năm không phải là USD được quy đổi sang USD theo tỷ giá giao dịch thực tế tại ngày phát sinh nghiệp vụ. Tỷ giá giao dịch thực tế được xác định như sau:</t>
        </is>
      </c>
      <c r="B338" s="6" t="inlineStr">
        <is>
          <t>Transactions which are not in USD are translated into USD at the real exchange rates ruling at the date of transactions. The principles for determining the real exchange rates are as follows:</t>
        </is>
      </c>
      <c r="C338" s="6" t="inlineStr">
        <is>
          <t>年度内非以美元计价的经济交易应按交易日的实时汇率折算为美元。实时汇率的确定原则如下：</t>
        </is>
      </c>
      <c r="D338" s="6" t="inlineStr">
        <is>
          <t>年度內非以美元計價之經濟交易應按交易日之實時匯率折算為美元。實時匯率之確定原則如下：</t>
        </is>
      </c>
    </row>
    <row r="339" ht="96.59999999999999" customFormat="1" customHeight="1" s="8">
      <c r="A339" s="6" t="inlineStr">
        <is>
          <t>Các nghiệp vụ phát sinh trong năm không phải là USD được quy đổi sang USD theo tỷ giá mua bán chuyển khoản trung bình của ngân hàng thương mại nơi doanh nghiệp thường xuyên có giao dịch.</t>
        </is>
      </c>
      <c r="B339" s="6" t="inlineStr">
        <is>
          <t>Transactions which are not in USD are translated into USD at the average transfer selling and buying rate of the commercial bank where the Company has regular transactions.</t>
        </is>
      </c>
      <c r="C339" s="6" t="inlineStr">
        <is>
          <t>年度内非以美元计价的经济交易应以公司经常交易往来的商业银行公布的电汇买卖平均价（汇率）折算为美元。</t>
        </is>
      </c>
      <c r="D339" s="6" t="inlineStr">
        <is>
          <t>年度內非以美元計價的經濟交易應以公司經常交易往來的商業銀行公佈的電匯買賣平均價（匯率）折算為美元。</t>
        </is>
      </c>
    </row>
    <row r="340" ht="179.4" customFormat="1" customHeight="1" s="8">
      <c r="A340" s="6" t="inlineStr">
        <is>
          <t>Các nghiệp vụ phát sinh trong năm không phải là VND được quy đổi sang VND theo tỷ giá giao dịch thực tế là tỷ giá xấp xỉ với tỷ giá mua bán chuyển khoản trung bình của ngân hàng thương mại nơi doanh nghiệp thường xuyên có giao dịch. Tỷ giá xấp xỉ chênh lệch không vượt quá +/-1% so với tỷ giá mua bán chuyển khoản trung bình.</t>
        </is>
      </c>
      <c r="B340" s="6" t="inlineStr">
        <is>
          <t>Transactions which are not in VND are translated into VND at the real exchange rates as the one which approximates the average transfer selling and buying rate of the commercial bank where the Company has regular transactions. The approximate exchange rate must ensure its difference does not exceed +/-1% compared with the average transfer selling and buying rate.</t>
        </is>
      </c>
      <c r="C340" s="6" t="inlineStr">
        <is>
          <t>年度内非以越南盾计价的经济交易应以公司经常交易往来的的商业银行公布的电汇买卖平均价（汇率）的近似汇率折算为越南盾。近似汇率与平均买卖电汇汇率相差幅度不超过+/-1%。</t>
        </is>
      </c>
      <c r="D340" s="6" t="inlineStr">
        <is>
          <t>年度內非以越南盾計價之經濟交易應以公司經常交易往來的的商業銀行公佈的電匯買賣平均價（匯率）的近似匯率折算為越南盾。近似匯率與平均買賣電匯匯率相差幅度不超過+/-1%。</t>
        </is>
      </c>
    </row>
    <row r="341" ht="96.59999999999999" customFormat="1" customHeight="1" s="8">
      <c r="A341" s="6" t="inlineStr">
        <is>
          <t>Các nghiệp vụ phát sinh trong năm không phải là VND được quy đổi sang VND theo tỷ giá giao dịch thực tế tại ngày phát sinh nghiệp vụ. Tỷ giá giao dịch thực tế được xác định như sau:</t>
        </is>
      </c>
      <c r="B341" s="6" t="inlineStr">
        <is>
          <t>Transactions which are not in VND are translated into VND at the real exchange rates ruling at the date of transactions. The principles for determining the real exchange rates are as follows:</t>
        </is>
      </c>
      <c r="C341" s="6" t="inlineStr">
        <is>
          <t>年度内非以越南盾计价的经济交易应按交易日的实时汇率折算为越南盾。实时汇率的确定原则如下：</t>
        </is>
      </c>
      <c r="D341" s="6" t="inlineStr">
        <is>
          <t>年度內非以越南盾計價之經濟交易應按交易日之實時匯率折算為越南盾。實時匯率之確定原則如下：</t>
        </is>
      </c>
    </row>
    <row r="342" ht="69" customFormat="1" customHeight="1" s="8">
      <c r="A342" s="6" t="inlineStr">
        <is>
          <t>Các thành viên Ban Giám đốc Công ty đã điều hành Công ty trong suốt năm và đến ngày lập báo cáo gồm:</t>
        </is>
      </c>
      <c r="B342" s="6" t="inlineStr">
        <is>
          <t>The members of the Board of Management of the Company who have held business during the year and at the date of this report are as follows:</t>
        </is>
      </c>
      <c r="C342" s="6" t="inlineStr">
        <is>
          <t>公司管理阶层，已经负责维持公司整年度截至编制报表当日的运作，详细如下：</t>
        </is>
      </c>
      <c r="D342" s="6" t="inlineStr">
        <is>
          <t>公司管理階層，業已負責維持公司整年度截至編製報表當日之運作，詳細如下：</t>
        </is>
      </c>
    </row>
    <row r="343" ht="82.8" customFormat="1" customHeight="1" s="8">
      <c r="A343" s="6" t="inlineStr">
        <is>
          <t>Các thành viên Hội đồng Quản trị và Ban Giám đốc Công ty đã điều hành Công ty trong suốt năm và đến ngày lập báo cáo gồm:</t>
        </is>
      </c>
      <c r="B343" s="6" t="inlineStr">
        <is>
          <t>The members of the Board of Directors and the Board of Management of the Company who have held business during the year and at the date of this report are as follows:</t>
        </is>
      </c>
      <c r="C343" s="6" t="inlineStr">
        <is>
          <t>公司董事会成员和管理阶层，已经负责维持公司整年度截至编制报表当日的运作，详细如下：</t>
        </is>
      </c>
      <c r="D343" s="6" t="inlineStr">
        <is>
          <t>公司董事會成員及管理階層，業已負責維持公司整年度截至編製報表當日之運作，詳細如下：</t>
        </is>
      </c>
    </row>
    <row r="344" ht="96.59999999999999" customFormat="1" customHeight="1" s="8">
      <c r="A344" s="6" t="inlineStr">
        <is>
          <t>Các thành viên Hội đồng Quản trị và Ban Tổng Giám đốc Công ty đã điều hành Công ty trong suốt năm và đến ngày lập báo cáo gồm:</t>
        </is>
      </c>
      <c r="B344" s="6" t="inlineStr">
        <is>
          <t>The members of the Board of Directors and the Board of General Directors of the Company who have held business during the year and at the date of this report are as follows:</t>
        </is>
      </c>
      <c r="C344" s="6" t="inlineStr">
        <is>
          <t>公司董事会成员和管理阶层，已经负责维持公司整年度截至编制报表当日的运作，详细如下：</t>
        </is>
      </c>
      <c r="D344" s="6" t="inlineStr">
        <is>
          <t>公司董事會成員及管理階層，業已負責維持公司整年度截至編製報表當日之運作，詳細如下：</t>
        </is>
      </c>
    </row>
    <row r="345" ht="82.8" customFormat="1" customHeight="1" s="8">
      <c r="A345" s="6" t="inlineStr">
        <is>
          <t>Các thành viên Hội đồng Quản trị và Giám đốc Công ty đã điều hành Công ty trong suốt năm và đến ngày lập báo cáo gồm:</t>
        </is>
      </c>
      <c r="B345" s="6" t="inlineStr">
        <is>
          <t>The members of the Board of Directors and Director of the Company who have held business during the year and at the date of this report are as follows:</t>
        </is>
      </c>
      <c r="C345" s="6" t="inlineStr">
        <is>
          <t>公司董事会成员和经理，已经负责维持公司整年度截至编制报表当日的运作，详细如下：</t>
        </is>
      </c>
      <c r="D345" s="6" t="inlineStr">
        <is>
          <t>公司董事會成員及經理，業已負責維持公司整年度截至編製報表當日之運作，詳細如下：</t>
        </is>
      </c>
    </row>
    <row r="346" ht="96.59999999999999" customFormat="1" customHeight="1" s="8">
      <c r="A346" s="6" t="inlineStr">
        <is>
          <t>Các thành viên Hội đồng Quản trị và Giám đốc điều hành Công ty đã điều hành Công ty trong suốt năm và đến ngày lập báo cáo gồm:</t>
        </is>
      </c>
      <c r="B346" s="6" t="inlineStr">
        <is>
          <t>The members of the Board of Managing Directors and Managing Director of the Company who have held business during the year and at the date of this report are as follows:</t>
        </is>
      </c>
      <c r="C346" s="6" t="inlineStr">
        <is>
          <t>公司董事会成员和执行总监，已经负责维持公司整年度截至编制报表当日的运作，详细如下：</t>
        </is>
      </c>
      <c r="D346" s="6" t="inlineStr">
        <is>
          <t>公司董事會成員及執行總監，業已負責維持公司整年度截至編製報表當日之運作，詳細如下：</t>
        </is>
      </c>
    </row>
    <row r="347" ht="82.8" customFormat="1" customHeight="1" s="8">
      <c r="A347" s="6" t="inlineStr">
        <is>
          <t>Các thành viên Hội đồng Quản trị và Tổng Giám đốc Công ty đã điều hành Công ty trong suốt năm và đến ngày lập báo cáo gồm:</t>
        </is>
      </c>
      <c r="B347" s="6" t="inlineStr">
        <is>
          <t>The members of the Board of Directors and General Director of the Company who have held business during the year and at the date of this report are as follows:</t>
        </is>
      </c>
      <c r="C347" s="6" t="inlineStr">
        <is>
          <t>公司董事会成员和总经理，已经负责维持公司整年度截至编制报表当日的运作，详细如下：</t>
        </is>
      </c>
      <c r="D347" s="6" t="inlineStr">
        <is>
          <t>公司董事會成員及總經理，業已負責維持公司整年度截至編製報表當日之運作，詳細如下：</t>
        </is>
      </c>
    </row>
    <row r="348" ht="82.8" customFormat="1" customHeight="1" s="8">
      <c r="A348" s="6" t="inlineStr">
        <is>
          <t>Các thành viên Hội đồng Thành viên và Ban Giám đốc Công ty đã điều hành Công ty trong suốt năm và đến ngày lập báo cáo gồm:</t>
        </is>
      </c>
      <c r="B348" s="6" t="inlineStr">
        <is>
          <t>The members of the Board of Members and the Board of Management of the Company who have held business during the year and at the date of this report are as follows:</t>
        </is>
      </c>
      <c r="C348" s="6" t="inlineStr">
        <is>
          <t>公司董事会和管理阶层，已经负责维持公司整年度截至编制报表当日的运作，详细如下：</t>
        </is>
      </c>
      <c r="D348" s="6" t="inlineStr">
        <is>
          <t>公司董事會及管理階層，業已負責維持公司整年度截至編製報表當日之運作，詳細如下：</t>
        </is>
      </c>
    </row>
    <row r="349" ht="96.59999999999999" customFormat="1" customHeight="1" s="8">
      <c r="A349" s="6" t="inlineStr">
        <is>
          <t>Các thành viên Hội đồng Thành viên và Ban Tổng Giám đốc Công ty đã điều hành Công ty trong suốt năm và đến ngày lập báo cáo gồm:</t>
        </is>
      </c>
      <c r="B349" s="6" t="inlineStr">
        <is>
          <t>The members of the Board of Members and the Board of General Directors of the Company who have held business during the year and at the date of this report are as follows:</t>
        </is>
      </c>
      <c r="C349" s="6" t="inlineStr">
        <is>
          <t>公司董事会和管理阶层，已经负责维持公司整年度截至编制报表当日的运作，详细如下：</t>
        </is>
      </c>
      <c r="D349" s="6" t="inlineStr">
        <is>
          <t>公司董事會及管理階層，業已負責維持公司整年度截至編製報表當日之運作，詳細如下：</t>
        </is>
      </c>
    </row>
    <row r="350" ht="82.8" customFormat="1" customHeight="1" s="8">
      <c r="A350" s="6" t="inlineStr">
        <is>
          <t>Các thành viên Hội đồng Thành viên và Giám đốc Công ty đã điều hành Công ty trong suốt năm và đến ngày lập báo cáo gồm:</t>
        </is>
      </c>
      <c r="B350" s="6" t="inlineStr">
        <is>
          <t>The members of the Board of Members and Director of the Company who have held business during the year and at the date of this report are as follows:</t>
        </is>
      </c>
      <c r="C350" s="6" t="inlineStr">
        <is>
          <t>公司董事会和经理，已经负责维持公司整年度截至编制报表当日的运作，详细如下：</t>
        </is>
      </c>
      <c r="D350" s="6" t="inlineStr">
        <is>
          <t>公司董事會及經理，業已負責維持公司整年度截至編製報表當日之運作，詳細如下：</t>
        </is>
      </c>
    </row>
    <row r="351" ht="82.8" customFormat="1" customHeight="1" s="8">
      <c r="A351" s="6" t="inlineStr">
        <is>
          <t>Các thành viên Hội đồng Thành viên và Giám đốc điều hành Công ty đã điều hành Công ty trong suốt năm và đến ngày lập báo cáo gồm:</t>
        </is>
      </c>
      <c r="B351" s="6" t="inlineStr">
        <is>
          <t>The members of the Board of Members and Managing Director of the Company who have held business during the year and at the date of this report are as follows:</t>
        </is>
      </c>
      <c r="C351" s="6" t="inlineStr">
        <is>
          <t>公司董事会和执行总监，已经负责维持公司整年度截至编制报表当日的运作，详细如下：</t>
        </is>
      </c>
      <c r="D351" s="6" t="inlineStr">
        <is>
          <t>公司董事會及執行總監，業已負責維持公司整年度截至編製報表當日之運作，詳細如下：</t>
        </is>
      </c>
    </row>
    <row r="352" ht="82.8" customFormat="1" customHeight="1" s="8">
      <c r="A352" s="6" t="inlineStr">
        <is>
          <t>Các thành viên Hội đồng Thành viên và Tổng Giám đốc Công ty đã điều hành Công ty trong suốt năm và đến ngày lập báo cáo gồm:</t>
        </is>
      </c>
      <c r="B352" s="6" t="inlineStr">
        <is>
          <t>The members of the Board of Members and General Director of the Company who have held business during the year and at the date of this report are as follows:</t>
        </is>
      </c>
      <c r="C352" s="6" t="inlineStr">
        <is>
          <t>公司董事会和总经理，已经负责维持公司整年度截至编制报表当日的运作，详细如下：</t>
        </is>
      </c>
      <c r="D352" s="6" t="inlineStr">
        <is>
          <t>公司董事會及總經理，業已負責維持公司整年度截至編製報表當日之運作，詳細如下：</t>
        </is>
      </c>
    </row>
    <row r="353" ht="27.6" customFormat="1" customHeight="1" s="8">
      <c r="A353" s="6" t="inlineStr">
        <is>
          <t>Các thay đổi khác về tài sản cố định hữu hình:</t>
        </is>
      </c>
      <c r="B353" s="6" t="inlineStr">
        <is>
          <t>Other changes in tangible fixed assets:</t>
        </is>
      </c>
      <c r="C353" s="6" t="inlineStr">
        <is>
          <t>有形固定资产的其他变动数：</t>
        </is>
      </c>
      <c r="D353" s="6" t="inlineStr">
        <is>
          <t>有形固定資產之其他變動數：</t>
        </is>
      </c>
    </row>
    <row r="354" ht="27.6" customFormat="1" customHeight="1" s="8">
      <c r="A354" s="6" t="inlineStr">
        <is>
          <t>Các thay đổi trong các chính sách kế toán áp dụng</t>
        </is>
      </c>
      <c r="B354" s="6" t="inlineStr">
        <is>
          <t>Changes in applying accounting policies</t>
        </is>
      </c>
      <c r="C354" s="6" t="inlineStr">
        <is>
          <t>会计政策的更改</t>
        </is>
      </c>
      <c r="D354" s="6" t="inlineStr">
        <is>
          <t>會計政策之更改</t>
        </is>
      </c>
    </row>
    <row r="355" ht="27.6" customFormat="1" customHeight="1" s="8">
      <c r="A355" s="6" t="inlineStr">
        <is>
          <t>Cầm cố thế chấp ngắn hạn</t>
        </is>
      </c>
      <c r="B355" s="6" t="inlineStr">
        <is>
          <t>Short-term pledges and mortgages</t>
        </is>
      </c>
      <c r="C355" s="6" t="inlineStr">
        <is>
          <t>短期抵押、质押</t>
        </is>
      </c>
      <c r="D355" s="6" t="inlineStr">
        <is>
          <t>短期抵押、質押</t>
        </is>
      </c>
    </row>
    <row r="356" ht="27.6" customFormat="1" customHeight="1" s="8">
      <c r="A356" s="6" t="inlineStr">
        <is>
          <t>Cầm cố thế chấp dài hạn</t>
        </is>
      </c>
      <c r="B356" s="6" t="inlineStr">
        <is>
          <t>Long-term pledges and mortgages</t>
        </is>
      </c>
      <c r="C356" s="6" t="inlineStr">
        <is>
          <t>长期抵押、质押</t>
        </is>
      </c>
      <c r="D356" s="6" t="inlineStr">
        <is>
          <t>長期抵押、質押</t>
        </is>
      </c>
    </row>
    <row r="357" customFormat="1" s="8">
      <c r="A357" s="6" t="inlineStr">
        <is>
          <t>Cam kết thuê hoạt động</t>
        </is>
      </c>
      <c r="B357" s="6" t="inlineStr">
        <is>
          <t>Operating lease commitment</t>
        </is>
      </c>
      <c r="C357" s="6" t="inlineStr">
        <is>
          <t>营业租赁契约</t>
        </is>
      </c>
      <c r="D357" s="6" t="inlineStr">
        <is>
          <t>營業租賃契約</t>
        </is>
      </c>
    </row>
    <row r="358" ht="27.6" customFormat="1" customHeight="1" s="8">
      <c r="A358" s="6" t="inlineStr">
        <is>
          <t>Căn cứ để xác định tiền thuê phát sinh thêm:</t>
        </is>
      </c>
      <c r="B358" s="6" t="inlineStr">
        <is>
          <t>Bases for determining the additions to rentals:</t>
        </is>
      </c>
      <c r="C358" s="6" t="inlineStr">
        <is>
          <t>租金增加款额的确认基数：</t>
        </is>
      </c>
      <c r="D358" s="6" t="inlineStr">
        <is>
          <t>租金增加款額之確認基數：</t>
        </is>
      </c>
    </row>
    <row r="359" customFormat="1" s="8">
      <c r="A359" s="6" t="inlineStr">
        <is>
          <t>Cấn trừ công nợ</t>
        </is>
      </c>
      <c r="B359" s="6" t="inlineStr">
        <is>
          <t>Offsetting of liabilities</t>
        </is>
      </c>
      <c r="C359" s="6" t="inlineStr">
        <is>
          <t>应收应付抵消</t>
        </is>
      </c>
      <c r="D359" s="6" t="inlineStr">
        <is>
          <t>應收應付抵消</t>
        </is>
      </c>
    </row>
    <row r="360" customFormat="1" s="8">
      <c r="A360" s="6" t="inlineStr">
        <is>
          <t>Chế độ kế toán áp dụng</t>
        </is>
      </c>
      <c r="B360" s="6" t="inlineStr">
        <is>
          <t>Applicable accounting system</t>
        </is>
      </c>
      <c r="C360" s="6" t="inlineStr">
        <is>
          <t>会计制度的采用</t>
        </is>
      </c>
      <c r="D360" s="6" t="inlineStr">
        <is>
          <t>會計制度之採用</t>
        </is>
      </c>
    </row>
    <row r="361" customFormat="1" s="8">
      <c r="A361" s="6" t="inlineStr">
        <is>
          <t>Cheng Wen Chung</t>
        </is>
      </c>
      <c r="B361" s="6" t="inlineStr">
        <is>
          <t>Cheng Wen Chung</t>
        </is>
      </c>
      <c r="C361" s="6" t="inlineStr">
        <is>
          <t>郑文宗</t>
        </is>
      </c>
      <c r="D361" s="6" t="inlineStr">
        <is>
          <t>鄭文宗</t>
        </is>
      </c>
    </row>
    <row r="362" customFormat="1" s="8">
      <c r="A362" s="6" t="inlineStr">
        <is>
          <t>Chênh lệch đánh giá lại tài sản</t>
        </is>
      </c>
      <c r="B362" s="6" t="inlineStr">
        <is>
          <t>Assets revaluation differences</t>
        </is>
      </c>
      <c r="C362" s="6" t="inlineStr">
        <is>
          <t>资产重估差价</t>
        </is>
      </c>
      <c r="D362" s="6" t="inlineStr">
        <is>
          <t>資產重估差價</t>
        </is>
      </c>
    </row>
    <row r="363" ht="151.8" customFormat="1" customHeight="1" s="8">
      <c r="A363" s="6" t="inlineStr">
        <is>
          <t>Chênh lệch giữa tổng doanh thu lũy kế của hợp đồng xây dựng đã ghi nhận và khoản tiền lũy kế ghi trên hóa đơn thanh toán theo tiến độ kế hoạch của hợp đồng được ghi nhận là khoản phải thu hoặc phải trả theo tiến độ kế hoạch của các hợp đồng xây dựng.</t>
        </is>
      </c>
      <c r="B363" s="6" t="inlineStr">
        <is>
          <t>Difference between the accumulated revenue of the construction contracts recognized and the accumulated amount of progress invoices of the contract has been recognized as the progress receipts due from customers or the progress payments due to customers of construction contracts.</t>
        </is>
      </c>
      <c r="C363" s="6" t="inlineStr">
        <is>
          <t>建筑工程帐载累计收入总额与按照合同中工程进度付款的相关发票上的累计金额的相差金额，应当按照建筑工程合同中的工程进度列为应收帐款或应付帐款。</t>
        </is>
      </c>
      <c r="D363" s="6" t="inlineStr">
        <is>
          <t>建築工程帳載累計收入總額與按照合約中工程進度付款的相關發票上的累計金額的相差金額，應當按照建築工程合約中之工程進度列為應收帳款或應付帳款。</t>
        </is>
      </c>
    </row>
    <row r="364" ht="27.6" customFormat="1" customHeight="1" s="8">
      <c r="A364" s="6" t="inlineStr">
        <is>
          <t>Chênh lệch lãi do đánh giá lại tài sản đưa đi góp vốn</t>
        </is>
      </c>
      <c r="B364" s="6" t="inlineStr">
        <is>
          <t>Gain on revaluation of assets used for capital contribution</t>
        </is>
      </c>
      <c r="C364" s="6" t="inlineStr">
        <is>
          <t>资产作价入股的重估收益</t>
        </is>
      </c>
      <c r="D364" s="6" t="inlineStr">
        <is>
          <t>資產作價入股的重估收益</t>
        </is>
      </c>
    </row>
    <row r="365" ht="27.6" customFormat="1" customHeight="1" s="8">
      <c r="A365" s="6" t="inlineStr">
        <is>
          <t>Chênh lệch lỗ do đánh giá lại tài sản đưa đi góp vốn</t>
        </is>
      </c>
      <c r="B365" s="6" t="inlineStr">
        <is>
          <t>Loss on revaluation of assets used for capital contribution</t>
        </is>
      </c>
      <c r="C365" s="6" t="inlineStr">
        <is>
          <t>资产作价入股的重估损失</t>
        </is>
      </c>
      <c r="D365" s="6" t="inlineStr">
        <is>
          <t>資產作價入股的重估損失</t>
        </is>
      </c>
    </row>
    <row r="366" ht="27.6" customFormat="1" customHeight="1" s="8">
      <c r="A366" s="6" t="inlineStr">
        <is>
          <t>Chênh lệch tạm thời được khấu trừ</t>
        </is>
      </c>
      <c r="B366" s="6" t="inlineStr">
        <is>
          <t>Deductible temporary differences</t>
        </is>
      </c>
      <c r="C366" s="6" t="inlineStr">
        <is>
          <t>可减除暂时性差异</t>
        </is>
      </c>
      <c r="D366" s="6" t="inlineStr">
        <is>
          <t>可減除暫時性差異</t>
        </is>
      </c>
    </row>
    <row r="367" ht="27.6" customFormat="1" customHeight="1" s="8">
      <c r="A367" s="6" t="inlineStr">
        <is>
          <t>Chênh lệch tỷ giá chuyển đổi báo cáo</t>
        </is>
      </c>
      <c r="B367" s="6" t="inlineStr">
        <is>
          <t>Exchange differences due to conversion</t>
        </is>
      </c>
      <c r="C367" s="6" t="inlineStr">
        <is>
          <t>记帐本位币变更的汇兑差异</t>
        </is>
      </c>
      <c r="D367" s="6" t="inlineStr">
        <is>
          <t>記帳本位幣變更之匯兌差異</t>
        </is>
      </c>
    </row>
    <row r="368" customFormat="1" s="8">
      <c r="A368" s="6" t="inlineStr">
        <is>
          <t>Chênh lệch tỷ giá cuối năm</t>
        </is>
      </c>
      <c r="B368" s="6" t="inlineStr">
        <is>
          <t>Year-end exchange difference</t>
        </is>
      </c>
      <c r="C368" s="6" t="inlineStr">
        <is>
          <t>年底重估的汇率差额</t>
        </is>
      </c>
      <c r="D368" s="6" t="inlineStr">
        <is>
          <t>年底重估的匯率差額</t>
        </is>
      </c>
    </row>
    <row r="369" ht="27.6" customFormat="1" customHeight="1" s="8">
      <c r="A369" s="6" t="inlineStr">
        <is>
          <t>Chênh lệch tỷ giá do quy đổi ngoại tệ</t>
        </is>
      </c>
      <c r="B369" s="6" t="inlineStr">
        <is>
          <t>Exchange differences due to currency conversion</t>
        </is>
      </c>
      <c r="C369" s="6" t="inlineStr">
        <is>
          <t>外币换算的汇兑差异</t>
        </is>
      </c>
      <c r="D369" s="6" t="inlineStr">
        <is>
          <t>外幣換算之匯兌差異</t>
        </is>
      </c>
    </row>
    <row r="370" customFormat="1" s="8">
      <c r="A370" s="6" t="inlineStr">
        <is>
          <t>Chênh lệch tỷ giá hối đoái</t>
        </is>
      </c>
      <c r="B370" s="6" t="inlineStr">
        <is>
          <t>Foreign exchange differences</t>
        </is>
      </c>
      <c r="C370" s="6" t="inlineStr">
        <is>
          <t>汇兑差额</t>
        </is>
      </c>
      <c r="D370" s="6" t="inlineStr">
        <is>
          <t xml:space="preserve">	匯兌差額</t>
        </is>
      </c>
    </row>
    <row r="371" ht="69" customFormat="1" customHeight="1" s="8">
      <c r="A371" s="6" t="inlineStr">
        <is>
          <t>Chênh lệch tỷ giá và chênh lệch đánh giá lại tài sản được quy đổi ra VND theo tỷ giá giao dịch thực tế tại ngày đánh giá;</t>
        </is>
      </c>
      <c r="B371" s="6" t="inlineStr">
        <is>
          <t>Foreign exchange differences and differences upon asset revaluation are converted into VND at the real exchange rate at the date of valuation;</t>
        </is>
      </c>
      <c r="C371" s="6" t="inlineStr">
        <is>
          <t>汇兑差异及资产重估差价按照重新评估当日的实际交易汇率折算为越南盾；</t>
        </is>
      </c>
      <c r="D371" s="6" t="inlineStr">
        <is>
          <t>匯兌差異及資產重估差價按照重新評估當日之實際交易匯率折算為越南盾；</t>
        </is>
      </c>
    </row>
    <row r="372" customFormat="1" s="8">
      <c r="A372" s="6" t="inlineStr">
        <is>
          <t>Chi hộ</t>
        </is>
      </c>
      <c r="B372" s="6" t="inlineStr">
        <is>
          <t>On-behalf payments</t>
        </is>
      </c>
      <c r="C372" s="6" t="inlineStr">
        <is>
          <t>代付款</t>
        </is>
      </c>
      <c r="D372" s="6" t="inlineStr">
        <is>
          <t>代付款</t>
        </is>
      </c>
    </row>
    <row r="373" customFormat="1" s="8">
      <c r="A373" s="6" t="inlineStr">
        <is>
          <t>Chi hộ khác</t>
        </is>
      </c>
      <c r="B373" s="6" t="inlineStr">
        <is>
          <t>Other on-behalf payments</t>
        </is>
      </c>
      <c r="C373" s="6" t="inlineStr">
        <is>
          <t>其他代付款</t>
        </is>
      </c>
      <c r="D373" s="6" t="inlineStr">
        <is>
          <t>其他代付款</t>
        </is>
      </c>
    </row>
    <row r="374" customFormat="1" s="8">
      <c r="A374" s="6" t="inlineStr">
        <is>
          <t>Chi phí</t>
        </is>
      </c>
      <c r="B374" s="6" t="inlineStr">
        <is>
          <t>Expenses</t>
        </is>
      </c>
      <c r="C374" s="6" t="inlineStr">
        <is>
          <t>费用</t>
        </is>
      </c>
      <c r="D374" s="6" t="inlineStr">
        <is>
          <t>費用</t>
        </is>
      </c>
    </row>
    <row r="375" customFormat="1" s="8">
      <c r="A375" s="6" t="inlineStr">
        <is>
          <t>Chi phí bán hàng</t>
        </is>
      </c>
      <c r="B375" s="6" t="inlineStr">
        <is>
          <t>Selling expenses</t>
        </is>
      </c>
      <c r="C375" s="6" t="inlineStr">
        <is>
          <t>销售费用</t>
        </is>
      </c>
      <c r="D375" s="6" t="inlineStr">
        <is>
          <t>銷售費用</t>
        </is>
      </c>
    </row>
    <row r="376" customFormat="1" s="8">
      <c r="A376" s="6" t="inlineStr">
        <is>
          <t>Chi phí bằng tiền khác</t>
        </is>
      </c>
      <c r="B376" s="6" t="inlineStr">
        <is>
          <t>Other expenses in cash</t>
        </is>
      </c>
      <c r="C376" s="6" t="inlineStr">
        <is>
          <t>其他现金支出</t>
        </is>
      </c>
      <c r="D376" s="6" t="inlineStr">
        <is>
          <t>其他現金支出</t>
        </is>
      </c>
    </row>
    <row r="377" customFormat="1" s="8">
      <c r="A377" s="6" t="inlineStr">
        <is>
          <t>Chi phí bao bì vật liệu</t>
        </is>
      </c>
      <c r="B377" s="6" t="inlineStr">
        <is>
          <t>Packaging and materials</t>
        </is>
      </c>
      <c r="C377" s="6" t="inlineStr">
        <is>
          <t>包材、物料成本</t>
        </is>
      </c>
      <c r="D377" s="6" t="inlineStr">
        <is>
          <t>包材、物料成本</t>
        </is>
      </c>
    </row>
    <row r="378" customFormat="1" s="8">
      <c r="A378" s="6" t="inlineStr">
        <is>
          <t>Chi phí bảo hành</t>
        </is>
      </c>
      <c r="B378" s="6" t="inlineStr">
        <is>
          <t>Guarantee fee</t>
        </is>
      </c>
      <c r="C378" s="6" t="inlineStr">
        <is>
          <t>保固费用</t>
        </is>
      </c>
      <c r="D378" s="6" t="inlineStr">
        <is>
          <t>保固費用</t>
        </is>
      </c>
    </row>
    <row r="379" customFormat="1" s="8">
      <c r="A379" s="6" t="inlineStr">
        <is>
          <t>Chi phí bảo hiểm</t>
        </is>
      </c>
      <c r="B379" s="6" t="inlineStr">
        <is>
          <t>Insurance premiums</t>
        </is>
      </c>
      <c r="C379" s="6" t="inlineStr">
        <is>
          <t>保险金</t>
        </is>
      </c>
      <c r="D379" s="6" t="inlineStr">
        <is>
          <t>保險金</t>
        </is>
      </c>
    </row>
    <row r="380" customFormat="1" s="8">
      <c r="A380" s="6" t="inlineStr">
        <is>
          <t>Chi phí bồi thường</t>
        </is>
      </c>
      <c r="B380" s="6" t="inlineStr">
        <is>
          <t>Compensation</t>
        </is>
      </c>
      <c r="C380" s="6" t="inlineStr">
        <is>
          <t>补偿金</t>
        </is>
      </c>
      <c r="D380" s="6" t="inlineStr">
        <is>
          <t>補償金</t>
        </is>
      </c>
    </row>
    <row r="381" customFormat="1" s="8">
      <c r="A381" s="6" t="inlineStr">
        <is>
          <t>Chi phí cải tạo văn phòng</t>
        </is>
      </c>
      <c r="B381" s="6" t="inlineStr">
        <is>
          <t>Office improvement</t>
        </is>
      </c>
      <c r="C381" s="6" t="inlineStr">
        <is>
          <t>办公室改造费用</t>
        </is>
      </c>
      <c r="D381" s="6" t="inlineStr">
        <is>
          <t>辦公室改造費用</t>
        </is>
      </c>
    </row>
    <row r="382" ht="27.6" customFormat="1" customHeight="1" s="8">
      <c r="A382" s="6" t="inlineStr">
        <is>
          <t>Chi phí chuyển giao nghĩa vụ thanh toán</t>
        </is>
      </c>
      <c r="B382" s="6" t="inlineStr">
        <is>
          <t>Expenses from payment obligation transfer</t>
        </is>
      </c>
      <c r="C382" s="6" t="inlineStr">
        <is>
          <t>付款义务转让费用</t>
        </is>
      </c>
      <c r="D382" s="6" t="inlineStr">
        <is>
          <t>付款義務轉讓費用</t>
        </is>
      </c>
    </row>
    <row r="383" customFormat="1" s="8">
      <c r="A383" s="6" t="inlineStr">
        <is>
          <t>Chi phí công tác</t>
        </is>
      </c>
      <c r="B383" s="6" t="inlineStr">
        <is>
          <t>Business travel expenses</t>
        </is>
      </c>
      <c r="C383" s="6" t="inlineStr">
        <is>
          <t>差旅费</t>
        </is>
      </c>
      <c r="D383" s="6" t="inlineStr">
        <is>
          <t>差旅費</t>
        </is>
      </c>
    </row>
    <row r="384" customFormat="1" s="8">
      <c r="A384" s="6" t="inlineStr">
        <is>
          <t>Chi phí di dời máy</t>
        </is>
      </c>
      <c r="B384" s="6" t="inlineStr">
        <is>
          <t>Moving of machinery</t>
        </is>
      </c>
      <c r="C384" s="6" t="inlineStr">
        <is>
          <t>机器设备搬迁费用</t>
        </is>
      </c>
      <c r="D384" s="6" t="inlineStr">
        <is>
          <t>機器設備搬遷費用</t>
        </is>
      </c>
    </row>
    <row r="385" customFormat="1" s="8">
      <c r="A385" s="6" t="inlineStr">
        <is>
          <t>Chi phí di dời nhà xưởng</t>
        </is>
      </c>
      <c r="B385" s="6" t="inlineStr">
        <is>
          <t>Factory relocation</t>
        </is>
      </c>
      <c r="C385" s="6" t="inlineStr">
        <is>
          <t>工厂搬迁费用</t>
        </is>
      </c>
      <c r="D385" s="6" t="inlineStr">
        <is>
          <t>工廠搬遷費用</t>
        </is>
      </c>
    </row>
    <row r="386" customFormat="1" s="8">
      <c r="A386" s="6" t="inlineStr">
        <is>
          <t>Chi phí đi lại, công tác</t>
        </is>
      </c>
      <c r="B386" s="6" t="inlineStr">
        <is>
          <t>Travel expenses</t>
        </is>
      </c>
      <c r="C386" s="6" t="inlineStr">
        <is>
          <t>差旅费</t>
        </is>
      </c>
      <c r="D386" s="6" t="inlineStr">
        <is>
          <t>差旅費</t>
        </is>
      </c>
    </row>
    <row r="387" customFormat="1" s="8">
      <c r="A387" s="6" t="inlineStr">
        <is>
          <t>Chi phí đi vay</t>
        </is>
      </c>
      <c r="B387" s="6" t="inlineStr">
        <is>
          <t>Borrowing costs</t>
        </is>
      </c>
      <c r="C387" s="6" t="inlineStr">
        <is>
          <t>借款费用</t>
        </is>
      </c>
      <c r="D387" s="6" t="inlineStr">
        <is>
          <t>借款費用</t>
        </is>
      </c>
    </row>
    <row r="388" ht="69" customFormat="1" customHeight="1" s="8">
      <c r="A388" s="6" t="inlineStr">
        <is>
          <t>Chi phí đi vay được ghi nhận vào chi phí sản xuất, kinh doanh trong kỳ khi phát sinh, trừ khi được vốn hóa.</t>
        </is>
      </c>
      <c r="B388" s="6" t="inlineStr">
        <is>
          <t>Borrowing costs should be recognized as expenses in the period in which they are incurred, except to the extent that they are capitalized.</t>
        </is>
      </c>
      <c r="C388" s="6" t="inlineStr">
        <is>
          <t>借款费用在发生时应计入当期生产、营业费用，其费用得以资本化除外。</t>
        </is>
      </c>
      <c r="D388" s="6" t="inlineStr">
        <is>
          <t>借款費用在發生時應計入當期生產、營業費用，其費用得以資本化除外。</t>
        </is>
      </c>
    </row>
    <row r="389" ht="138" customFormat="1" customHeight="1" s="8">
      <c r="A389" s="6" t="inlineStr">
        <is>
          <t>Chi phí đi vay liên quan trực tiếp đến việc đầu tư xây dựng hoặc sản xuất tài sản dở dang được tính vào giá trị của tài sản đó được vốn hóa khi Công ty chắc chắn thu được lợi ích kinh tế trong tương lai do sử dụng tài sản đó và chi phí đi vay có thể xác định được một cách đáng tin cậy.</t>
        </is>
      </c>
      <c r="B389" s="6" t="inlineStr">
        <is>
          <t>Borrowing costs that are directly attributable to the acquisition, construction or production of a qualifying asset as part of the cost of that asset should be capitalized when it is probable that they will result in future economic benefits to the Company and the borrowing costs can be measured reliably.</t>
        </is>
      </c>
      <c r="C389" s="6" t="inlineStr">
        <is>
          <t>直接归属于相关资产的购置、建造或生产的借款费用，如果很可能由于使用该资产而产生未来经济利益且相关借款费用能够可靠计量时，应将其资本化计入资产成本。</t>
        </is>
      </c>
      <c r="D389" s="6" t="inlineStr">
        <is>
          <t>直接歸屬於相關資產的購置、建造或生產的借款費用，如果很可能由於使用該資產而產生未來經濟利益且相關借款費用能夠可靠計量時，應將其資本化計入資產成本。</t>
        </is>
      </c>
    </row>
    <row r="390" customFormat="1" s="8">
      <c r="A390" s="6" t="inlineStr">
        <is>
          <t>Chi phí dịch vụ mua ngoài</t>
        </is>
      </c>
      <c r="B390" s="6" t="inlineStr">
        <is>
          <t>Outsourcing expenses</t>
        </is>
      </c>
      <c r="C390" s="6" t="inlineStr">
        <is>
          <t>外包劳务费</t>
        </is>
      </c>
      <c r="D390" s="6" t="inlineStr">
        <is>
          <t>外包勞務費</t>
        </is>
      </c>
    </row>
    <row r="391" ht="27.6" customFormat="1" customHeight="1" s="8">
      <c r="A391" s="6" t="inlineStr">
        <is>
          <t>Chi phí dịch vụ mua ngoài và chi phí khác</t>
        </is>
      </c>
      <c r="B391" s="6" t="inlineStr">
        <is>
          <t>Outsourcing expenses and other expenses</t>
        </is>
      </c>
      <c r="C391" s="6" t="inlineStr">
        <is>
          <t>外包劳务费和其他销售费用</t>
        </is>
      </c>
      <c r="D391" s="6" t="inlineStr">
        <is>
          <t>外包勞務費和其他銷售費用</t>
        </is>
      </c>
    </row>
    <row r="392" customFormat="1" s="8">
      <c r="A392" s="6" t="inlineStr">
        <is>
          <t>Chi phí dịch vụ vận chuyển</t>
        </is>
      </c>
      <c r="B392" s="6" t="inlineStr">
        <is>
          <t>Transportation service expenses</t>
        </is>
      </c>
      <c r="C392" s="6" t="inlineStr">
        <is>
          <t>运输劳务费</t>
        </is>
      </c>
      <c r="D392" s="6" t="inlineStr">
        <is>
          <t>運輸勞務費</t>
        </is>
      </c>
    </row>
    <row r="393" customFormat="1" s="8">
      <c r="A393" s="6" t="inlineStr">
        <is>
          <t>Chi phí điện</t>
        </is>
      </c>
      <c r="B393" s="6" t="inlineStr">
        <is>
          <t>Electricity</t>
        </is>
      </c>
      <c r="C393" s="6" t="inlineStr">
        <is>
          <t>电费</t>
        </is>
      </c>
      <c r="D393" s="6" t="inlineStr">
        <is>
          <t>電費</t>
        </is>
      </c>
    </row>
    <row r="394" customFormat="1" s="8">
      <c r="A394" s="6" t="inlineStr">
        <is>
          <t>Chi phí đồ dùng</t>
        </is>
      </c>
      <c r="B394" s="6" t="inlineStr">
        <is>
          <t>Supplies</t>
        </is>
      </c>
      <c r="C394" s="6" t="inlineStr">
        <is>
          <t>办公用品</t>
        </is>
      </c>
      <c r="D394" s="6" t="inlineStr">
        <is>
          <t>辦公用品</t>
        </is>
      </c>
    </row>
    <row r="395" ht="27.6" customFormat="1" customHeight="1" s="8">
      <c r="A395" s="6" t="inlineStr">
        <is>
          <t>Chi phí đồ dùng văn phòng</t>
        </is>
      </c>
      <c r="B395" s="6" t="inlineStr">
        <is>
          <t>Office tools and supplies expenses</t>
        </is>
      </c>
      <c r="C395" s="6" t="inlineStr">
        <is>
          <t>办公工具及设备</t>
        </is>
      </c>
      <c r="D395" s="6" t="inlineStr">
        <is>
          <t>辦公工具及設備</t>
        </is>
      </c>
    </row>
    <row r="396" customFormat="1" s="8">
      <c r="A396" s="6" t="inlineStr">
        <is>
          <t>Chi phí dụng cụ, đồ dùng</t>
        </is>
      </c>
      <c r="B396" s="6" t="inlineStr">
        <is>
          <t>Tools and supplies</t>
        </is>
      </c>
      <c r="C396" s="6" t="inlineStr">
        <is>
          <t>工用具费用</t>
        </is>
      </c>
      <c r="D396" s="6" t="inlineStr">
        <is>
          <t>工用具費用</t>
        </is>
      </c>
    </row>
    <row r="397" customFormat="1" s="8">
      <c r="A397" s="6" t="inlineStr">
        <is>
          <t>Chi phí dụng cụ, sản xuất</t>
        </is>
      </c>
      <c r="B397" s="6" t="inlineStr">
        <is>
          <t>Production tools</t>
        </is>
      </c>
      <c r="C397" s="6" t="inlineStr">
        <is>
          <t>生产工具费用</t>
        </is>
      </c>
      <c r="D397" s="6" t="inlineStr">
        <is>
          <t>生產工具費用</t>
        </is>
      </c>
    </row>
    <row r="398" customFormat="1" s="8">
      <c r="A398" s="6" t="inlineStr">
        <is>
          <t>Chi phí hàng mẫu</t>
        </is>
      </c>
      <c r="B398" s="6" t="inlineStr">
        <is>
          <t>Sample product expenses</t>
        </is>
      </c>
      <c r="C398" s="6" t="inlineStr">
        <is>
          <t>样品费用</t>
        </is>
      </c>
      <c r="D398" s="6" t="inlineStr">
        <is>
          <t>樣品費用</t>
        </is>
      </c>
    </row>
    <row r="399" customFormat="1" s="8">
      <c r="A399" s="6" t="inlineStr">
        <is>
          <t>Chi phí hoa hồng</t>
        </is>
      </c>
      <c r="B399" s="6" t="inlineStr">
        <is>
          <t>Commissions</t>
        </is>
      </c>
      <c r="C399" s="6" t="inlineStr">
        <is>
          <t>佣金</t>
        </is>
      </c>
      <c r="D399" s="6" t="inlineStr">
        <is>
          <t>佣金</t>
        </is>
      </c>
    </row>
    <row r="400" customFormat="1" s="8">
      <c r="A400" s="6" t="inlineStr">
        <is>
          <t>Chi phí hoa hồng bán hàng</t>
        </is>
      </c>
      <c r="B400" s="6" t="inlineStr">
        <is>
          <t>Sales commissions</t>
        </is>
      </c>
      <c r="C400" s="6" t="inlineStr">
        <is>
          <t>销货佣金费用</t>
        </is>
      </c>
      <c r="D400" s="6" t="inlineStr">
        <is>
          <t>銷貨佣金費用</t>
        </is>
      </c>
    </row>
    <row r="401" customFormat="1" s="8">
      <c r="A401" s="6" t="inlineStr">
        <is>
          <t>Chi phí khác</t>
        </is>
      </c>
      <c r="B401" s="6" t="inlineStr">
        <is>
          <t>Other expenses</t>
        </is>
      </c>
      <c r="C401" s="6" t="inlineStr">
        <is>
          <t>营业外支出-chọn-其他费用</t>
        </is>
      </c>
      <c r="D401" s="6" t="inlineStr">
        <is>
          <t>營業外支出-chọn-其他費用</t>
        </is>
      </c>
    </row>
    <row r="402" customFormat="1" s="8">
      <c r="A402" s="6" t="inlineStr">
        <is>
          <t>Chi phí khác bằng tiền</t>
        </is>
      </c>
      <c r="B402" s="6" t="inlineStr">
        <is>
          <t>Other expenses in cash</t>
        </is>
      </c>
      <c r="C402" s="6" t="inlineStr">
        <is>
          <t>其他现金支出</t>
        </is>
      </c>
      <c r="D402" s="6" t="inlineStr">
        <is>
          <t>其他現金支出</t>
        </is>
      </c>
    </row>
    <row r="403" customFormat="1" s="8">
      <c r="A403" s="6" t="inlineStr">
        <is>
          <t>Chi phí khấu hao</t>
        </is>
      </c>
      <c r="B403" s="6" t="inlineStr">
        <is>
          <t xml:space="preserve">Depreciation and amortisation </t>
        </is>
      </c>
      <c r="C403" s="6" t="inlineStr">
        <is>
          <t>折旧费用</t>
        </is>
      </c>
      <c r="D403" s="6" t="inlineStr">
        <is>
          <t>折舊費用</t>
        </is>
      </c>
    </row>
    <row r="404" customFormat="1" s="8">
      <c r="A404" s="6" t="inlineStr">
        <is>
          <t>Chi phí khấu hao tài sản</t>
        </is>
      </c>
      <c r="B404" s="6" t="inlineStr">
        <is>
          <t>Depreciation and amortisation</t>
        </is>
      </c>
      <c r="C404" s="6" t="inlineStr">
        <is>
          <t>资产折旧费用</t>
        </is>
      </c>
      <c r="D404" s="6" t="inlineStr">
        <is>
          <t>資產折舊費用</t>
        </is>
      </c>
    </row>
    <row r="405" ht="27.6" customFormat="1" customHeight="1" s="8">
      <c r="A405" s="6" t="inlineStr">
        <is>
          <t>Chi phí khấu hao tài sản cố định</t>
        </is>
      </c>
      <c r="B405" s="6" t="inlineStr">
        <is>
          <t>Depreciation and amortisation</t>
        </is>
      </c>
      <c r="C405" s="6" t="inlineStr">
        <is>
          <t>固定资产折旧费用</t>
        </is>
      </c>
      <c r="D405" s="6" t="inlineStr">
        <is>
          <t>固定資產折舊費用</t>
        </is>
      </c>
    </row>
    <row r="406" ht="27.6" customFormat="1" customHeight="1" s="8">
      <c r="A406" s="6" t="inlineStr">
        <is>
          <t>Chi phí khấu hao tài sản cố định hữu hình</t>
        </is>
      </c>
      <c r="B406" s="6" t="inlineStr">
        <is>
          <t>Depreciation of tangible fixed assets</t>
        </is>
      </c>
      <c r="C406" s="6" t="inlineStr">
        <is>
          <t>有形固定资产折旧费用</t>
        </is>
      </c>
      <c r="D406" s="6" t="inlineStr">
        <is>
          <t>有形固定資產折舊費用</t>
        </is>
      </c>
    </row>
    <row r="407" ht="27.6" customFormat="1" customHeight="1" s="8">
      <c r="A407" s="6" t="inlineStr">
        <is>
          <t>Chi phí khấu hao và phân bổ</t>
        </is>
      </c>
      <c r="B407" s="6" t="inlineStr">
        <is>
          <t>Depreciation and allocation expenses</t>
        </is>
      </c>
      <c r="C407" s="6" t="inlineStr">
        <is>
          <t>折旧及分摊费用</t>
        </is>
      </c>
      <c r="D407" s="6" t="inlineStr">
        <is>
          <t>折舊及分攤費用</t>
        </is>
      </c>
    </row>
    <row r="408" ht="27.6" customFormat="1" customHeight="1" s="8">
      <c r="A408" s="6" t="inlineStr">
        <is>
          <t>Chi phí khấu hao, phân bổ</t>
        </is>
      </c>
      <c r="B408" s="6" t="inlineStr">
        <is>
          <t>Depreciation, amortisation, and allocation</t>
        </is>
      </c>
      <c r="C408" s="6" t="inlineStr">
        <is>
          <t>折旧费用、分摊费用</t>
        </is>
      </c>
      <c r="D408" s="6" t="inlineStr">
        <is>
          <t>折舊費用、分攤費用</t>
        </is>
      </c>
    </row>
    <row r="409" ht="27.6" customFormat="1" customHeight="1" s="8">
      <c r="A409" s="6" t="inlineStr">
        <is>
          <t>Chi phí kiểm toán, giao dịch liên kết</t>
        </is>
      </c>
      <c r="B409" s="6" t="inlineStr">
        <is>
          <t>Audit and related-transaction report</t>
        </is>
      </c>
      <c r="C409" s="6" t="inlineStr">
        <is>
          <t>审计、转让定价劳务费</t>
        </is>
      </c>
      <c r="D409" s="6" t="inlineStr">
        <is>
          <t>審計、移轉訂價勞務費</t>
        </is>
      </c>
    </row>
    <row r="410" customFormat="1" s="8">
      <c r="A410" s="6" t="inlineStr">
        <is>
          <t>Chi phí kinh doanh theo yếu tố</t>
        </is>
      </c>
      <c r="B410" s="6" t="inlineStr">
        <is>
          <t>Expenses classified by factors</t>
        </is>
      </c>
      <c r="C410" s="6" t="inlineStr">
        <is>
          <t>营业费用细项</t>
        </is>
      </c>
      <c r="D410" s="6" t="inlineStr">
        <is>
          <t>營業費用細項</t>
        </is>
      </c>
    </row>
    <row r="411" customFormat="1" s="8">
      <c r="A411" s="6" t="inlineStr">
        <is>
          <t>Chi phí lãi vay</t>
        </is>
      </c>
      <c r="B411" s="6" t="inlineStr">
        <is>
          <t>Interest expenses</t>
        </is>
      </c>
      <c r="C411" s="6" t="inlineStr">
        <is>
          <t>利息费用</t>
        </is>
      </c>
      <c r="D411" s="6" t="inlineStr">
        <is>
          <t>利息費用</t>
        </is>
      </c>
    </row>
    <row r="412" customFormat="1" s="8">
      <c r="A412" s="6" t="inlineStr">
        <is>
          <t>Chi phí lãi vay chủ sở hữu</t>
        </is>
      </c>
      <c r="B412" s="6" t="inlineStr">
        <is>
          <t>Loan interests payable to owner</t>
        </is>
      </c>
      <c r="C412" s="6" t="inlineStr">
        <is>
          <t>应付所有者的利息费用</t>
        </is>
      </c>
      <c r="D412" s="6" t="inlineStr">
        <is>
          <t>應付所有者的利息費用</t>
        </is>
      </c>
    </row>
    <row r="413" customFormat="1" s="8">
      <c r="A413" s="6" t="inlineStr">
        <is>
          <t>Chi phí lương</t>
        </is>
      </c>
      <c r="B413" s="6" t="inlineStr">
        <is>
          <t>Salary expenses</t>
        </is>
      </c>
      <c r="C413" s="6" t="inlineStr">
        <is>
          <t>管理人员薪资费用</t>
        </is>
      </c>
      <c r="D413" s="6" t="inlineStr">
        <is>
          <t>管理人員薪資費用</t>
        </is>
      </c>
    </row>
    <row r="414" customFormat="1" s="8">
      <c r="A414" s="6" t="inlineStr">
        <is>
          <t>Chi phí mua bảo hiểm</t>
        </is>
      </c>
      <c r="B414" s="6" t="inlineStr">
        <is>
          <t>Insurance premium</t>
        </is>
      </c>
      <c r="C414" s="6" t="inlineStr">
        <is>
          <t>购买保险费用</t>
        </is>
      </c>
      <c r="D414" s="6" t="inlineStr">
        <is>
          <t>購買保險費用</t>
        </is>
      </c>
    </row>
    <row r="415" customFormat="1" s="8">
      <c r="A415" s="6" t="inlineStr">
        <is>
          <t>Chi phí nguyên liệu, vật liệu</t>
        </is>
      </c>
      <c r="B415" s="6" t="inlineStr">
        <is>
          <t>Raw materials</t>
        </is>
      </c>
      <c r="C415" s="6" t="inlineStr">
        <is>
          <t>原材料成本</t>
        </is>
      </c>
      <c r="D415" s="6" t="inlineStr">
        <is>
          <t>原材料成本</t>
        </is>
      </c>
    </row>
    <row r="416" customFormat="1" s="8">
      <c r="A416" s="6" t="inlineStr">
        <is>
          <t>Chi phí nhân công</t>
        </is>
      </c>
      <c r="B416" s="6" t="inlineStr">
        <is>
          <t>Labor</t>
        </is>
      </c>
      <c r="C416" s="6" t="inlineStr">
        <is>
          <t>人工成本</t>
        </is>
      </c>
      <c r="D416" s="6" t="inlineStr">
        <is>
          <t>人工成本</t>
        </is>
      </c>
    </row>
    <row r="417" customFormat="1" s="8">
      <c r="A417" s="6" t="inlineStr">
        <is>
          <t>Chi phí nhân viên</t>
        </is>
      </c>
      <c r="B417" s="6" t="inlineStr">
        <is>
          <t>Staff</t>
        </is>
      </c>
      <c r="C417" s="6" t="inlineStr">
        <is>
          <t>人员薪酬费用</t>
        </is>
      </c>
      <c r="D417" s="6" t="inlineStr">
        <is>
          <t>人員薪酬費用</t>
        </is>
      </c>
    </row>
    <row r="418" customFormat="1" s="8">
      <c r="A418" s="6" t="inlineStr">
        <is>
          <t>Chi phí nhân viên bán hàng</t>
        </is>
      </c>
      <c r="B418" s="6" t="inlineStr">
        <is>
          <t>Sales staff</t>
        </is>
      </c>
      <c r="C418" s="6" t="inlineStr">
        <is>
          <t>销售人员薪资费用</t>
        </is>
      </c>
      <c r="D418" s="6" t="inlineStr">
        <is>
          <t>銷售人員薪資費用</t>
        </is>
      </c>
    </row>
    <row r="419" customFormat="1" s="8">
      <c r="A419" s="6" t="inlineStr">
        <is>
          <t>Chi phí nhân viên quản lý</t>
        </is>
      </c>
      <c r="B419" s="6" t="inlineStr">
        <is>
          <t>Management staff</t>
        </is>
      </c>
      <c r="C419" s="6" t="inlineStr">
        <is>
          <t>管理人员薪资费用</t>
        </is>
      </c>
      <c r="D419" s="6" t="inlineStr">
        <is>
          <t>管理人員薪資費用</t>
        </is>
      </c>
    </row>
    <row r="420" customFormat="1" s="8">
      <c r="A420" s="6" t="inlineStr">
        <is>
          <t>Chi phí phải trả</t>
        </is>
      </c>
      <c r="B420" s="6" t="inlineStr">
        <is>
          <t>Accrued expenses</t>
        </is>
      </c>
      <c r="C420" s="6" t="inlineStr">
        <is>
          <t>应付费用</t>
        </is>
      </c>
      <c r="D420" s="6" t="inlineStr">
        <is>
          <t>應付費用</t>
        </is>
      </c>
    </row>
    <row r="421" customFormat="1" s="8">
      <c r="A421" s="6" t="inlineStr">
        <is>
          <t>Chi phí phải trả dài hạn</t>
        </is>
      </c>
      <c r="B421" s="6" t="inlineStr">
        <is>
          <t>Long-term accrued expenses</t>
        </is>
      </c>
      <c r="C421" s="6" t="inlineStr">
        <is>
          <t>长期应付费用</t>
        </is>
      </c>
      <c r="D421" s="6" t="inlineStr">
        <is>
          <t>長期應付費用</t>
        </is>
      </c>
    </row>
    <row r="422" customFormat="1" s="8">
      <c r="A422" s="6" t="inlineStr">
        <is>
          <t>Chi phí phải trả ngắn hạn</t>
        </is>
      </c>
      <c r="B422" s="6" t="inlineStr">
        <is>
          <t>Short-term accrued expenses</t>
        </is>
      </c>
      <c r="C422" s="6" t="inlineStr">
        <is>
          <t>短期应付费用</t>
        </is>
      </c>
      <c r="D422" s="6" t="inlineStr">
        <is>
          <t>短期應付費用</t>
        </is>
      </c>
    </row>
    <row r="423" ht="27.6" customFormat="1" customHeight="1" s="8">
      <c r="A423" s="6" t="inlineStr">
        <is>
          <t>Chi phí phải trả ngắn hạn, dài hạn</t>
        </is>
      </c>
      <c r="B423" s="6" t="inlineStr">
        <is>
          <t>Short-term and long-term accrued expenses</t>
        </is>
      </c>
      <c r="C423" s="6" t="inlineStr">
        <is>
          <t>短期/长期应付费用</t>
        </is>
      </c>
      <c r="D423" s="6" t="inlineStr">
        <is>
          <t>短期/長期應付費用</t>
        </is>
      </c>
    </row>
    <row r="424" ht="27.6" customFormat="1" customHeight="1" s="8">
      <c r="A424" s="6" t="inlineStr">
        <is>
          <t>Chi phí phân bổ quyền sử dụng đất</t>
        </is>
      </c>
      <c r="B424" s="6" t="inlineStr">
        <is>
          <t>Allocation of land use right</t>
        </is>
      </c>
      <c r="C424" s="6" t="inlineStr">
        <is>
          <t>土地使用权摊提</t>
        </is>
      </c>
      <c r="D424" s="6" t="inlineStr">
        <is>
          <t>土地使用權攤提</t>
        </is>
      </c>
    </row>
    <row r="425" customFormat="1" s="8">
      <c r="A425" s="6" t="inlineStr">
        <is>
          <t>Chi phí phân bổ tiền thuê đất</t>
        </is>
      </c>
      <c r="B425" s="6" t="inlineStr">
        <is>
          <t>Allocation of land rents</t>
        </is>
      </c>
      <c r="C425" s="6" t="inlineStr">
        <is>
          <t>土地租金摊提</t>
        </is>
      </c>
      <c r="D425" s="6" t="inlineStr">
        <is>
          <t>土地租金攤提</t>
        </is>
      </c>
    </row>
    <row r="426" ht="27.6" customFormat="1" customHeight="1" s="8">
      <c r="A426" s="6" t="inlineStr">
        <is>
          <t>Chi phí phân bổ, khấu hao</t>
        </is>
      </c>
      <c r="B426" s="6" t="inlineStr">
        <is>
          <t>Allocation, depreciation and amortisation</t>
        </is>
      </c>
      <c r="C426" s="6" t="inlineStr">
        <is>
          <t>折旧、摊销费用</t>
        </is>
      </c>
      <c r="D426" s="6" t="inlineStr">
        <is>
          <t>折舊、攤銷費用</t>
        </is>
      </c>
    </row>
    <row r="427" ht="27.6" customFormat="1" customHeight="1" s="8">
      <c r="A427" s="6" t="inlineStr">
        <is>
          <t>Chi phí quản lý doanh nghiệp</t>
        </is>
      </c>
      <c r="B427" s="6" t="inlineStr">
        <is>
          <t>General and administration expenses</t>
        </is>
      </c>
      <c r="C427" s="6" t="inlineStr">
        <is>
          <t>营业管理费用</t>
        </is>
      </c>
      <c r="D427" s="6" t="inlineStr">
        <is>
          <t>營業管理費用</t>
        </is>
      </c>
    </row>
    <row r="428" customFormat="1" s="8">
      <c r="A428" s="6" t="inlineStr">
        <is>
          <t>Chi phí quảng bá kinh doanh</t>
        </is>
      </c>
      <c r="B428" s="6" t="inlineStr">
        <is>
          <t>Business promotion expenses</t>
        </is>
      </c>
      <c r="C428" s="6" t="inlineStr">
        <is>
          <t>营销推广费用</t>
        </is>
      </c>
      <c r="D428" s="6" t="inlineStr">
        <is>
          <t>營銷推廣費用</t>
        </is>
      </c>
    </row>
    <row r="429" customFormat="1" s="8">
      <c r="A429" s="6" t="inlineStr">
        <is>
          <t>Chi phí quảng cáo</t>
        </is>
      </c>
      <c r="B429" s="6" t="inlineStr">
        <is>
          <t>Advertising costs</t>
        </is>
      </c>
      <c r="C429" s="6" t="inlineStr">
        <is>
          <t>广告费用</t>
        </is>
      </c>
      <c r="D429" s="6" t="inlineStr">
        <is>
          <t>廣告費用</t>
        </is>
      </c>
    </row>
    <row r="430" ht="27.6" customFormat="1" customHeight="1" s="8">
      <c r="A430" s="6" t="inlineStr">
        <is>
          <t>Chi phí sản xuất kinh doanh dở dang</t>
        </is>
      </c>
      <c r="B430" s="6" t="inlineStr">
        <is>
          <t>Work in progress</t>
        </is>
      </c>
      <c r="C430" s="6" t="inlineStr">
        <is>
          <t>在制费用（在制品）</t>
        </is>
      </c>
      <c r="D430" s="6" t="inlineStr">
        <is>
          <t>在製費用（在製品）</t>
        </is>
      </c>
    </row>
    <row r="431" ht="27.6" customFormat="1" customHeight="1" s="8">
      <c r="A431" s="6" t="inlineStr">
        <is>
          <t>Chi phí sản xuất, kinh doanh dở dang</t>
        </is>
      </c>
      <c r="B431" s="6" t="inlineStr">
        <is>
          <t>Work in progress</t>
        </is>
      </c>
      <c r="C431" s="6" t="inlineStr">
        <is>
          <t>在制费用（在制品）</t>
        </is>
      </c>
      <c r="D431" s="6" t="inlineStr">
        <is>
          <t>在製費用（在製品）</t>
        </is>
      </c>
    </row>
    <row r="432" ht="27.6" customFormat="1" customHeight="1" s="8">
      <c r="A432" s="6" t="inlineStr">
        <is>
          <t>Chi phí sản xuất, kinh doanh dở dang dài hạn</t>
        </is>
      </c>
      <c r="B432" s="6" t="inlineStr">
        <is>
          <t>Long-term work in progress</t>
        </is>
      </c>
      <c r="C432" s="6" t="inlineStr">
        <is>
          <t>长期在制费用</t>
        </is>
      </c>
      <c r="D432" s="6" t="inlineStr">
        <is>
          <t>長期在製費用</t>
        </is>
      </c>
    </row>
    <row r="433" ht="27.6" customFormat="1" customHeight="1" s="8">
      <c r="A433" s="6" t="inlineStr">
        <is>
          <t>Chi phí sản xuất, kinh doanh theo yếu tố</t>
        </is>
      </c>
      <c r="B433" s="6" t="inlineStr">
        <is>
          <t>Expenses classified by factors</t>
        </is>
      </c>
      <c r="C433" s="6" t="inlineStr">
        <is>
          <t>生产、营业费用细项</t>
        </is>
      </c>
      <c r="D433" s="6" t="inlineStr">
        <is>
          <t>生產、營業費用細項</t>
        </is>
      </c>
    </row>
    <row r="434" customFormat="1" s="8">
      <c r="A434" s="6" t="inlineStr">
        <is>
          <t>Chi phí sữa chữa</t>
        </is>
      </c>
      <c r="B434" s="6" t="inlineStr">
        <is>
          <t>Repairs expense</t>
        </is>
      </c>
      <c r="C434" s="6" t="inlineStr">
        <is>
          <t>修理费用</t>
        </is>
      </c>
      <c r="D434" s="6" t="inlineStr">
        <is>
          <t>修理費用</t>
        </is>
      </c>
    </row>
    <row r="435" ht="27.6" customFormat="1" customHeight="1" s="8">
      <c r="A435" s="6" t="inlineStr">
        <is>
          <t>Chi phí sửa chữa lớn tài sản cố định</t>
        </is>
      </c>
      <c r="B435" s="6" t="inlineStr">
        <is>
          <t>Major repairs of fixed assets</t>
        </is>
      </c>
      <c r="C435" s="6" t="inlineStr">
        <is>
          <t>固定资产大修理支出</t>
        </is>
      </c>
      <c r="D435" s="6" t="inlineStr">
        <is>
          <t>固定資產大修理支出</t>
        </is>
      </c>
    </row>
    <row r="436" customFormat="1" s="8">
      <c r="A436" s="6" t="inlineStr">
        <is>
          <t>Chi phí tài chính</t>
        </is>
      </c>
      <c r="B436" s="6" t="inlineStr">
        <is>
          <t>Financial expenses</t>
        </is>
      </c>
      <c r="C436" s="6" t="inlineStr">
        <is>
          <t>财务费用</t>
        </is>
      </c>
      <c r="D436" s="6" t="inlineStr">
        <is>
          <t>財務費用</t>
        </is>
      </c>
    </row>
    <row r="437" customFormat="1" s="8">
      <c r="A437" s="6" t="inlineStr">
        <is>
          <t>Chi phí thi công, sửa chữa</t>
        </is>
      </c>
      <c r="B437" s="6" t="inlineStr">
        <is>
          <t>Construction works and repairs</t>
        </is>
      </c>
      <c r="C437" s="6" t="inlineStr">
        <is>
          <t>施工、维修费用</t>
        </is>
      </c>
      <c r="D437" s="6" t="inlineStr">
        <is>
          <t>施工、維修費用</t>
        </is>
      </c>
    </row>
    <row r="438" customFormat="1" s="8">
      <c r="A438" s="6" t="inlineStr">
        <is>
          <t>Chi phí thuê đất</t>
        </is>
      </c>
      <c r="B438" s="6" t="inlineStr">
        <is>
          <t>Land rents</t>
        </is>
      </c>
      <c r="C438" s="6" t="inlineStr">
        <is>
          <t>土地租金</t>
        </is>
      </c>
      <c r="D438" s="6" t="inlineStr">
        <is>
          <t>土地租金</t>
        </is>
      </c>
    </row>
    <row r="439" customFormat="1" s="8">
      <c r="A439" s="6" t="inlineStr">
        <is>
          <t>Chi phí thuê ngoài</t>
        </is>
      </c>
      <c r="B439" s="6" t="inlineStr">
        <is>
          <t>Outsourcing services</t>
        </is>
      </c>
      <c r="C439" s="6" t="inlineStr">
        <is>
          <t>外包劳务费</t>
        </is>
      </c>
      <c r="D439" s="6" t="inlineStr">
        <is>
          <t>外包勞務費</t>
        </is>
      </c>
    </row>
    <row r="440" ht="27.6" customFormat="1" customHeight="1" s="8">
      <c r="A440" s="6" t="inlineStr">
        <is>
          <t>Chi phí thuế thu nhập doanh nghiệp hiện hành</t>
        </is>
      </c>
      <c r="B440" s="6" t="inlineStr">
        <is>
          <t>Current corporate income tax expense</t>
        </is>
      </c>
      <c r="C440" s="6" t="inlineStr">
        <is>
          <t>当期企业所得税费用</t>
        </is>
      </c>
      <c r="D440" s="6" t="inlineStr">
        <is>
          <t>當期企業所得稅費用</t>
        </is>
      </c>
    </row>
    <row r="441" ht="27.6" customFormat="1" customHeight="1" s="8">
      <c r="A441" s="6" t="inlineStr">
        <is>
          <t>Chi phí thuế thu nhập doanh nghiệp hoãn lại</t>
        </is>
      </c>
      <c r="B441" s="6" t="inlineStr">
        <is>
          <t>Deferred corporate income tax expense</t>
        </is>
      </c>
      <c r="C441" s="6" t="inlineStr">
        <is>
          <t>递延所得税费用</t>
        </is>
      </c>
      <c r="D441" s="6" t="inlineStr">
        <is>
          <t>遞延所得稅費用</t>
        </is>
      </c>
    </row>
    <row r="442" ht="55.2" customFormat="1" customHeight="1" s="8">
      <c r="A442" s="6" t="inlineStr">
        <is>
          <t>Chi phí thuế thu nhập doanh nghiệp hoãn lại phát sinh từ các khoản chênh lệch tạm thời phải chịu thuế</t>
        </is>
      </c>
      <c r="B442" s="6" t="inlineStr">
        <is>
          <t>Deferred corporate income tax expense arising from taxable temporary differences</t>
        </is>
      </c>
      <c r="C442" s="6" t="inlineStr">
        <is>
          <t>可课税暂时性差异产生的递延所得税费用</t>
        </is>
      </c>
      <c r="D442" s="6" t="inlineStr">
        <is>
          <t>可課稅暫時性差異產生的遞延所得稅費用</t>
        </is>
      </c>
    </row>
    <row r="443" ht="55.2" customFormat="1" customHeight="1" s="8">
      <c r="A443" s="6" t="inlineStr">
        <is>
          <t>Chi phí thuế thu nhập doanh nghiệp hoãn lại phát sinh từ việc hoàn nhập tài sản thuế thu nhập hoãn lại</t>
        </is>
      </c>
      <c r="B443" s="6" t="inlineStr">
        <is>
          <t>Deferred corporate income tax expense arising from reversal of deferred income tax assets</t>
        </is>
      </c>
      <c r="C443" s="6" t="inlineStr">
        <is>
          <t>递延所得税资产迴转产生的递延所得税费用</t>
        </is>
      </c>
      <c r="D443" s="6" t="inlineStr">
        <is>
          <t>遞延所得稅資產迴轉產生的遞延所得稅費用</t>
        </is>
      </c>
    </row>
    <row r="444" customFormat="1" s="8">
      <c r="A444" s="6" t="inlineStr">
        <is>
          <t>Chi phí thuê xưởng</t>
        </is>
      </c>
      <c r="B444" s="6" t="inlineStr">
        <is>
          <t>Factory rent</t>
        </is>
      </c>
      <c r="C444" s="6" t="inlineStr">
        <is>
          <t>工厂租赁费用</t>
        </is>
      </c>
      <c r="D444" s="6" t="inlineStr">
        <is>
          <t>工廠租賃費用</t>
        </is>
      </c>
    </row>
    <row r="445" customFormat="1" s="8">
      <c r="A445" s="6" t="inlineStr">
        <is>
          <t>Chi phí trả trước</t>
        </is>
      </c>
      <c r="B445" s="6" t="inlineStr">
        <is>
          <t>Prepaid expenses</t>
        </is>
      </c>
      <c r="C445" s="6" t="inlineStr">
        <is>
          <t>预付费用</t>
        </is>
      </c>
      <c r="D445" s="6" t="inlineStr">
        <is>
          <t>預付費用</t>
        </is>
      </c>
    </row>
    <row r="446" ht="165.6" customFormat="1" customHeight="1" s="8">
      <c r="A446" s="6" t="inlineStr">
        <is>
          <t>Chi phí trả trước bao gồm chi phí trả trước ngắn hạn và chi phí trả trước dài hạn, thể hiện các khoản chi phí thực tế đã phát sinh nhưng chưa tính hết vào chi phí trong kỳ phát sinh do các chi phí này liên quan đến nhiều kỳ hạch toán và được phân bổ vào chi phí theo thời gian mà lợi ích kinh tế do các khoản chi phí này mang lại.</t>
        </is>
      </c>
      <c r="B446" s="6" t="inlineStr">
        <is>
          <t>Prepaid expenses comprise short-term and long-term prepaid expenses, reflecting the actual costs incurred but not yet fully charged to the expenses of the period as those costs relate to many bookkeeping periods and are allocated into the expenses over the time in which the economic benefits associated with those costs flow to the enterprise.</t>
        </is>
      </c>
      <c r="C446" s="6" t="inlineStr">
        <is>
          <t>预付费用包含短期预付费用和长期预付费用，且乃已实际支付，但未全额列入本期费用，因受益期涉及多个会计期间而应按受益期摊入费用的待摊费用。</t>
        </is>
      </c>
      <c r="D446" s="6" t="inlineStr">
        <is>
          <t>預付費用包含短期預付費用和長期預付費用，且乃已實際支付，但未全額列入本期費用，因受益期涉及多個會計期間而應按受益期攤入費用的待攤費用。</t>
        </is>
      </c>
    </row>
    <row r="447" customFormat="1" s="8">
      <c r="A447" s="6" t="inlineStr">
        <is>
          <t>Chi phí trả trước dài hạn</t>
        </is>
      </c>
      <c r="B447" s="6" t="inlineStr">
        <is>
          <t>Long-term prepaid expenses</t>
        </is>
      </c>
      <c r="C447" s="6" t="inlineStr">
        <is>
          <t>长期预付费用</t>
        </is>
      </c>
      <c r="D447" s="6" t="inlineStr">
        <is>
          <t>長期預付費用</t>
        </is>
      </c>
    </row>
    <row r="448" ht="27.6" customFormat="1" customHeight="1" s="8">
      <c r="A448" s="6" t="inlineStr">
        <is>
          <t>Chi phí trả trước dài hạn bao gồm:</t>
        </is>
      </c>
      <c r="B448" s="6" t="inlineStr">
        <is>
          <t>Long-term prepaid expenses comprise:</t>
        </is>
      </c>
      <c r="C448" s="6" t="inlineStr">
        <is>
          <t>长期预付费用包括:</t>
        </is>
      </c>
      <c r="D448" s="6" t="inlineStr">
        <is>
          <t>長期預付費用包括：</t>
        </is>
      </c>
    </row>
    <row r="449" ht="55.2" customFormat="1" customHeight="1" s="8">
      <c r="A449" s="6" t="inlineStr">
        <is>
          <t>Chi phí trả trước dài hạn chủ yếu bao gồm các khoản chi phí công cụ, dụng cụ và các chi phí khác.</t>
        </is>
      </c>
      <c r="B449" s="6" t="inlineStr">
        <is>
          <t>Long-term prepaid expenses mainly comprise expenses of tools and supplies and other expenses.</t>
        </is>
      </c>
      <c r="C449" s="6" t="inlineStr">
        <is>
          <t>长期预付费用包含工具、用具费用和其他费用。</t>
        </is>
      </c>
      <c r="D449" s="6" t="inlineStr">
        <is>
          <t>長期預付費用包含工具、用具費用和其他費用。</t>
        </is>
      </c>
    </row>
    <row r="450" ht="165.6" customFormat="1" customHeight="1" s="8">
      <c r="A450" s="6" t="inlineStr">
        <is>
          <t xml:space="preserve">Chi phí trả trước dài hạn chủ yếu bao gồm các khoản chi phí thành lập doanh nhiệp, chi phí đào tạo nhân viên, chi phí quảng cáo phát sinh trong giai đoạn trước hoạt động, chi phí cho giai đoạn nghiên cứu, chi phí chuyển dịch địa điểm được hoãn lại để phân bổ dần vào chi phí sản xuất kinh doanh trong thời hạn tối đa không quá ba năm. </t>
        </is>
      </c>
      <c r="B450" s="6" t="inlineStr">
        <is>
          <t xml:space="preserve">Long-term prepaid expenses mainly comprise establishment expenses, staff training expenses, advertising costs incurred during the pre-operation period, research expenses, location moving expenses that are deferred for gradual allocation to operating expenses over a maximum period not more than three years. </t>
        </is>
      </c>
      <c r="C450" s="6" t="inlineStr">
        <is>
          <t>长期预付费用包含企业在筹建期间发生的办公费用、培训费用、广告费用、研发期间的必要支出以及地点转移费用，且得以分期摊入生产、营业费用，但摊销期限不超过三年。</t>
        </is>
      </c>
      <c r="D450" s="6" t="inlineStr">
        <is>
          <t>長期預付費用包含企業在籌建期間發生之辦公費用、培訓費用、廣告費用、研發期間之必要支出以及地點轉移費用，且得以分期攤入生產、營業費用，但攤銷期限不超過三年。</t>
        </is>
      </c>
    </row>
    <row r="451" ht="82.8" customFormat="1" customHeight="1" s="8">
      <c r="A451" s="6" t="inlineStr">
        <is>
          <t xml:space="preserve">Chi phí trả trước dài hạn chủ yếu bao gồm các khoản công cụ dụng cụ để phân bổ dần vào chi phí kinh doanh trong thời hạn tối đa không quá ba năm. </t>
        </is>
      </c>
      <c r="B451" s="6" t="inlineStr">
        <is>
          <t xml:space="preserve">Long-term prepaid expenses mainly comprise expenses of tools and supplies that are gradually allocated to operating expenses over a maximum period of three years. </t>
        </is>
      </c>
      <c r="C451" s="6" t="inlineStr">
        <is>
          <t>长期预付费用主要包含工具用具成本，且得以分期摊入生产、营业费用，但摊销期限不超过三年。</t>
        </is>
      </c>
      <c r="D451" s="6" t="inlineStr">
        <is>
          <t>長期預付費用主要包含工具用具成本，且得以分期攤入生產、營業費用，但攤銷期限不超過三年。</t>
        </is>
      </c>
    </row>
    <row r="452" ht="55.2" customFormat="1" customHeight="1" s="8">
      <c r="A452" s="6" t="inlineStr">
        <is>
          <t xml:space="preserve">Chi phí trả trước dài hạn chủ yếu bao gồm các khoản tiền thuê đất, chi phí công cụ, dụng cụ và các chi phí khác. </t>
        </is>
      </c>
      <c r="B452" s="6" t="inlineStr">
        <is>
          <t xml:space="preserve">Long-term prepaid expenses mainly comprise expenses of land rents, tools and supplies, and other expenses. </t>
        </is>
      </c>
      <c r="C452" s="6" t="inlineStr">
        <is>
          <t>长期预付费用主要包含土地租金、工具用具成本和其他费用。</t>
        </is>
      </c>
      <c r="D452" s="6" t="inlineStr">
        <is>
          <t>長期預付費用主要包含土地租金、工具用具成本和其他费用。</t>
        </is>
      </c>
    </row>
    <row r="453" ht="55.2" customFormat="1" customHeight="1" s="8">
      <c r="A453" s="6" t="inlineStr">
        <is>
          <t>Chi phí trả trước dài hạn được phân bổ vào chi phí sản xuất kinh doanh trong kỳ theo phương pháp đường thẳng.</t>
        </is>
      </c>
      <c r="B453" s="6" t="inlineStr">
        <is>
          <t>Long-term prepaid expenses are allocated to the operating expenses in the period on a straight-line basis.</t>
        </is>
      </c>
      <c r="C453" s="6" t="inlineStr">
        <is>
          <t>长期预付费用应以直线法摊销并计入当期生产、营业费用。</t>
        </is>
      </c>
      <c r="D453" s="6" t="inlineStr">
        <is>
          <t>長期預付費用應以直線法攤銷並計入當期生產、營業費用。</t>
        </is>
      </c>
    </row>
    <row r="454" ht="41.4" customFormat="1" customHeight="1" s="8">
      <c r="A454" s="6" t="inlineStr">
        <is>
          <t>Chi phí trả trước dài hạn là quyền sử dụng đất thuê dài hạn.</t>
        </is>
      </c>
      <c r="B454" s="6" t="inlineStr">
        <is>
          <t>Long-term prepaid expenses mainly comprise long-term leased land use right.</t>
        </is>
      </c>
      <c r="C454" s="6" t="inlineStr">
        <is>
          <t>长期预付费用为长期土地租赁使用权。</t>
        </is>
      </c>
      <c r="D454" s="6" t="inlineStr">
        <is>
          <t>長期預付費用為長期土地租賃使用權。</t>
        </is>
      </c>
    </row>
    <row r="455" ht="27.6" customFormat="1" customHeight="1" s="8">
      <c r="A455" s="6" t="inlineStr">
        <is>
          <t xml:space="preserve">Chi phí trả trước là chi phí trả trước dài hạn, </t>
        </is>
      </c>
      <c r="B455" s="6" t="inlineStr">
        <is>
          <t xml:space="preserve">Prepaid expenses comprise long-term prepaid expenses, </t>
        </is>
      </c>
      <c r="C455" s="6" t="inlineStr">
        <is>
          <t>预付费用为长期预付费用，</t>
        </is>
      </c>
      <c r="D455" s="6" t="inlineStr">
        <is>
          <t>預付費用為長期預付費用，</t>
        </is>
      </c>
    </row>
    <row r="456" ht="27.6" customFormat="1" customHeight="1" s="8">
      <c r="A456" s="6" t="inlineStr">
        <is>
          <t xml:space="preserve">Chi phí trả trước là chi phí trả trước ngắn hạn, </t>
        </is>
      </c>
      <c r="B456" s="6" t="inlineStr">
        <is>
          <t xml:space="preserve">Prepaid expenses comprise short-term prepaid expenses, </t>
        </is>
      </c>
      <c r="C456" s="6" t="inlineStr">
        <is>
          <t>预付费用包含短期预付费用，</t>
        </is>
      </c>
      <c r="D456" s="6" t="inlineStr">
        <is>
          <t>預付費用包含短期預付費用，</t>
        </is>
      </c>
    </row>
    <row r="457" customFormat="1" s="8">
      <c r="A457" s="6" t="inlineStr">
        <is>
          <t>Chi phí trả trước ngắn hạn</t>
        </is>
      </c>
      <c r="B457" s="6" t="inlineStr">
        <is>
          <t>Short-term prepaid expenses</t>
        </is>
      </c>
      <c r="C457" s="6" t="inlineStr">
        <is>
          <t>短期预付费用</t>
        </is>
      </c>
      <c r="D457" s="6" t="inlineStr">
        <is>
          <t>短期預付費用</t>
        </is>
      </c>
    </row>
    <row r="458" ht="27.6" customFormat="1" customHeight="1" s="8">
      <c r="A458" s="6" t="inlineStr">
        <is>
          <t>Chi phí trả trước ngắn hạn, dài hạn</t>
        </is>
      </c>
      <c r="B458" s="6" t="inlineStr">
        <is>
          <t>Short-term and long-term prepaid expenses</t>
        </is>
      </c>
      <c r="C458" s="6" t="inlineStr">
        <is>
          <t>长期、短期预付费用</t>
        </is>
      </c>
      <c r="D458" s="6" t="inlineStr">
        <is>
          <t>長期、短期預付費用</t>
        </is>
      </c>
    </row>
    <row r="459" ht="27.6" customFormat="1" customHeight="1" s="8">
      <c r="A459" s="6" t="inlineStr">
        <is>
          <t>Chi phí trả trước về thuê hoạt động</t>
        </is>
      </c>
      <c r="B459" s="6" t="inlineStr">
        <is>
          <t>Prepaid operating lease expenses</t>
        </is>
      </c>
      <c r="C459" s="6" t="inlineStr">
        <is>
          <t>营业租赁的预付费用</t>
        </is>
      </c>
      <c r="D459" s="6" t="inlineStr">
        <is>
          <t>營業租賃之預付費用</t>
        </is>
      </c>
    </row>
    <row r="460" ht="27.6" customFormat="1" customHeight="1" s="8">
      <c r="A460" s="6" t="inlineStr">
        <is>
          <t>Chi phí trả trước về thuê hoạt động tài sản cố định</t>
        </is>
      </c>
      <c r="B460" s="6" t="inlineStr">
        <is>
          <t>Prepaid expenses for operating lease of fixed assets</t>
        </is>
      </c>
      <c r="C460" s="6" t="inlineStr">
        <is>
          <t>营业租赁固定资产的预付费用</t>
        </is>
      </c>
      <c r="D460" s="6" t="inlineStr">
        <is>
          <t>營業租賃固定資產之預付費用</t>
        </is>
      </c>
    </row>
    <row r="461" ht="27.6" customFormat="1" customHeight="1" s="8">
      <c r="A461" s="6" t="inlineStr">
        <is>
          <t>Chi phí trả trước về thuê hoạt động TSCĐ</t>
        </is>
      </c>
      <c r="B461" s="6" t="inlineStr">
        <is>
          <t>Prepaid expenses for operating lease of fixed assets</t>
        </is>
      </c>
      <c r="C461" s="6" t="inlineStr">
        <is>
          <t>营业租赁固定资产的预付费用</t>
        </is>
      </c>
      <c r="D461" s="6" t="inlineStr">
        <is>
          <t>營業租賃固定資產之預付費用</t>
        </is>
      </c>
    </row>
    <row r="462" ht="27.6" customFormat="1" customHeight="1" s="8">
      <c r="A462" s="6" t="inlineStr">
        <is>
          <t>Chi phí trong thời gian ngừng kinh doanh</t>
        </is>
      </c>
      <c r="B462" s="6" t="inlineStr">
        <is>
          <t>Costs incurred during business suspension</t>
        </is>
      </c>
      <c r="C462" s="6" t="inlineStr">
        <is>
          <t>停业期间的费用支出</t>
        </is>
      </c>
      <c r="D462" s="6" t="inlineStr">
        <is>
          <t>停業期間的費用支出</t>
        </is>
      </c>
    </row>
    <row r="463" customFormat="1" s="8">
      <c r="A463" s="6" t="inlineStr">
        <is>
          <t>Chi phí tư vấn</t>
        </is>
      </c>
      <c r="B463" s="6" t="inlineStr">
        <is>
          <t>Consulting fees</t>
        </is>
      </c>
      <c r="C463" s="6" t="inlineStr">
        <is>
          <t>顾问费</t>
        </is>
      </c>
      <c r="D463" s="6" t="inlineStr">
        <is>
          <t>顧問費</t>
        </is>
      </c>
    </row>
    <row r="464" customFormat="1" s="8">
      <c r="A464" s="6" t="inlineStr">
        <is>
          <t>Chi phí vận chuyển</t>
        </is>
      </c>
      <c r="B464" s="6" t="inlineStr">
        <is>
          <t>Transportation costs</t>
        </is>
      </c>
      <c r="C464" s="6" t="inlineStr">
        <is>
          <t>运输费用</t>
        </is>
      </c>
      <c r="D464" s="6" t="inlineStr">
        <is>
          <t>運輸費用</t>
        </is>
      </c>
    </row>
    <row r="465" customFormat="1" s="8">
      <c r="A465" s="6" t="inlineStr">
        <is>
          <t>Chi phí vật liệu quản lý</t>
        </is>
      </c>
      <c r="B465" s="6" t="inlineStr">
        <is>
          <t>Management materials</t>
        </is>
      </c>
      <c r="C465" s="6" t="inlineStr">
        <is>
          <t>管理工具及器材</t>
        </is>
      </c>
      <c r="D465" s="6" t="inlineStr">
        <is>
          <t>管理工具及器材</t>
        </is>
      </c>
    </row>
    <row r="466" customFormat="1" s="8">
      <c r="A466" s="6" t="inlineStr">
        <is>
          <t>Chi phí vật liệu, bao bì</t>
        </is>
      </c>
      <c r="B466" s="6" t="inlineStr">
        <is>
          <t>Materials and packaging</t>
        </is>
      </c>
      <c r="C466" s="6" t="inlineStr">
        <is>
          <t>包材、物料成本</t>
        </is>
      </c>
      <c r="D466" s="6" t="inlineStr">
        <is>
          <t>包材、物料成本</t>
        </is>
      </c>
    </row>
    <row r="467" ht="27.6" customFormat="1" customHeight="1" s="8">
      <c r="A467" s="6" t="inlineStr">
        <is>
          <t>Chi phí xây dựng cơ bản dở dang</t>
        </is>
      </c>
      <c r="B467" s="6" t="inlineStr">
        <is>
          <t>Construction in progress</t>
        </is>
      </c>
      <c r="C467" s="6" t="inlineStr">
        <is>
          <t>在建工程</t>
        </is>
      </c>
      <c r="D467" s="6" t="inlineStr">
        <is>
          <t>在建工程</t>
        </is>
      </c>
    </row>
    <row r="468" ht="41.4" customFormat="1" customHeight="1" s="8">
      <c r="A468" s="6" t="inlineStr">
        <is>
          <t>Chi phí xây dựng cơ bản dở dang bao gồm các hạng mục sau</t>
        </is>
      </c>
      <c r="B468" s="6" t="inlineStr">
        <is>
          <t>The construction in progress comprises of the following items</t>
        </is>
      </c>
      <c r="C468" s="6" t="inlineStr">
        <is>
          <t>在建工程项目包括：</t>
        </is>
      </c>
      <c r="D468" s="6" t="inlineStr">
        <is>
          <t>在建工程項目包括：</t>
        </is>
      </c>
    </row>
    <row r="469" ht="27.6" customFormat="1" customHeight="1" s="8">
      <c r="A469" s="6" t="inlineStr">
        <is>
          <t>Chi phí xây dựng cơ bản dở dang bao gồm:</t>
        </is>
      </c>
      <c r="B469" s="6" t="inlineStr">
        <is>
          <t>The construction in progress comprises of:</t>
        </is>
      </c>
      <c r="C469" s="6" t="inlineStr">
        <is>
          <t>在建工程包括以下项目：</t>
        </is>
      </c>
      <c r="D469" s="6" t="inlineStr">
        <is>
          <t>在建工程包括以下項目：</t>
        </is>
      </c>
    </row>
    <row r="470" ht="138" customFormat="1" customHeight="1" s="8">
      <c r="A470" s="6" t="inlineStr">
        <is>
          <t>Chi phí xây dựng cơ bản dở dang thể hiện các khoản chi phí xây dựng, lắp đặt và các chi phí có liên quan trực tiếp khác để hình thành các tài sản cố định trong tương lai. Chi phí xây dựng cơ bản dở dang sẽ không được khấu hao cho đến khi tài sản tương ứng được hoàn thành và đưa vào sử dụng.</t>
        </is>
      </c>
      <c r="B470" s="6" t="inlineStr">
        <is>
          <t>Construction in progress comprises the costs of construction, installation and other costs directly related to the establishment of future fixed assets. Construction in progress is not amortized until the relevant assets are completed and put into use.</t>
        </is>
      </c>
      <c r="C470" s="6" t="inlineStr">
        <is>
          <t>在建工程是未来形成固定资产的建造费用、安装费用和其他直接相关费用。在建工程在相应资产完工并投入使用前不得提列折旧。</t>
        </is>
      </c>
      <c r="D470" s="6" t="inlineStr">
        <is>
          <t>在建工程乃未來形成固定資產之建造費用、安裝費用以及其他直接相關費用。在建工程在相應資產完工並投入使用前不得提列折舊。</t>
        </is>
      </c>
    </row>
    <row r="471" ht="27.6" customFormat="1" customHeight="1" s="8">
      <c r="A471" s="6" t="inlineStr">
        <is>
          <t>Chi phí xuất hàng mẫu</t>
        </is>
      </c>
      <c r="B471" s="6" t="inlineStr">
        <is>
          <t>Sample product delivery expenses</t>
        </is>
      </c>
      <c r="C471" s="6" t="inlineStr">
        <is>
          <t>样品费用</t>
        </is>
      </c>
      <c r="D471" s="6" t="inlineStr">
        <is>
          <t>樣品費用</t>
        </is>
      </c>
    </row>
    <row r="472" customFormat="1" s="8">
      <c r="A472" s="6" t="inlineStr">
        <is>
          <t>Chi phí xuất khẩu</t>
        </is>
      </c>
      <c r="B472" s="6" t="inlineStr">
        <is>
          <t>Export expenses</t>
        </is>
      </c>
      <c r="C472" s="6" t="inlineStr">
        <is>
          <t>出口费用</t>
        </is>
      </c>
      <c r="D472" s="6" t="inlineStr">
        <is>
          <t>出口費用</t>
        </is>
      </c>
    </row>
    <row r="473" ht="27.6" customFormat="1" customHeight="1" s="8">
      <c r="A473" s="6" t="inlineStr">
        <is>
          <t>Chi tài trợ khắc phục hậu quả thiên tai</t>
        </is>
      </c>
      <c r="B473" s="6" t="inlineStr">
        <is>
          <t>Disaster relief funding</t>
        </is>
      </c>
      <c r="C473" s="6" t="inlineStr">
        <is>
          <t>赈灾基金支出</t>
        </is>
      </c>
      <c r="D473" s="6" t="inlineStr">
        <is>
          <t>賑災基金支出</t>
        </is>
      </c>
    </row>
    <row r="474" ht="27.6" customFormat="1" customHeight="1" s="8">
      <c r="A474" s="6" t="inlineStr">
        <is>
          <t>Chi tiết các khoản vay như sau</t>
        </is>
      </c>
      <c r="B474" s="6" t="inlineStr">
        <is>
          <t>Details of the borrowings are as follows</t>
        </is>
      </c>
      <c r="C474" s="6" t="inlineStr">
        <is>
          <t>各项借款明细如下：</t>
        </is>
      </c>
      <c r="D474" s="6" t="inlineStr">
        <is>
          <t>各項借款明細如下：</t>
        </is>
      </c>
    </row>
    <row r="475" ht="27.6" customFormat="1" customHeight="1" s="8">
      <c r="A475" s="6" t="inlineStr">
        <is>
          <t>Chi tiết các khoản vay như sau:</t>
        </is>
      </c>
      <c r="B475" s="6" t="inlineStr">
        <is>
          <t>Details of the borrowings are as follows:</t>
        </is>
      </c>
      <c r="C475" s="6" t="inlineStr">
        <is>
          <t>各项借款明细如下：</t>
        </is>
      </c>
      <c r="D475" s="6" t="inlineStr">
        <is>
          <t>各項借款明細如下：</t>
        </is>
      </c>
    </row>
    <row r="476" ht="27.6" customFormat="1" customHeight="1" s="8">
      <c r="A476" s="6" t="inlineStr">
        <is>
          <t>Chi tiết khoản cho vay như sau:</t>
        </is>
      </c>
      <c r="B476" s="6" t="inlineStr">
        <is>
          <t>The loans are detailed as follows:</t>
        </is>
      </c>
      <c r="C476" s="6" t="inlineStr">
        <is>
          <t>贷款明细如下：</t>
        </is>
      </c>
      <c r="D476" s="6" t="inlineStr">
        <is>
          <t>貸款明細如下：</t>
        </is>
      </c>
    </row>
    <row r="477" ht="27.6" customFormat="1" customHeight="1" s="8">
      <c r="A477" s="6" t="inlineStr">
        <is>
          <t>Chi tiết khoản vay như sau:</t>
        </is>
      </c>
      <c r="B477" s="6" t="inlineStr">
        <is>
          <t>Details of the borrowing are as follows:</t>
        </is>
      </c>
      <c r="C477" s="6" t="inlineStr">
        <is>
          <t>借款明细如下：</t>
        </is>
      </c>
      <c r="D477" s="6" t="inlineStr">
        <is>
          <t>借款明細如下：</t>
        </is>
      </c>
    </row>
    <row r="478" customFormat="1" s="8">
      <c r="A478" s="6" t="inlineStr">
        <is>
          <t>Chi tiết như sau:</t>
        </is>
      </c>
      <c r="B478" s="6" t="inlineStr">
        <is>
          <t>Details are as follows:</t>
        </is>
      </c>
      <c r="C478" s="6" t="inlineStr">
        <is>
          <t>明细如下：</t>
        </is>
      </c>
      <c r="D478" s="6" t="inlineStr">
        <is>
          <t>明細如下：</t>
        </is>
      </c>
    </row>
    <row r="479" customFormat="1" s="8">
      <c r="A479" s="6" t="inlineStr">
        <is>
          <t>Chi tiết nợ khó đòi đã xử lý:</t>
        </is>
      </c>
      <c r="B479" s="6" t="inlineStr">
        <is>
          <t>Details of bad debts written off:</t>
        </is>
      </c>
      <c r="C479" s="6" t="inlineStr">
        <is>
          <t>已沖銷坏帐明细：</t>
        </is>
      </c>
      <c r="D479" s="6" t="inlineStr">
        <is>
          <t>已沖銷壞帳明細：</t>
        </is>
      </c>
    </row>
    <row r="480" ht="27.6" customFormat="1" customHeight="1" s="8">
      <c r="A480" s="6" t="inlineStr">
        <is>
          <t>Chi tiết vốn góp của chủ sở hữu</t>
        </is>
      </c>
      <c r="B480" s="6" t="inlineStr">
        <is>
          <t>Details of owner’s equity</t>
        </is>
      </c>
      <c r="C480" s="6" t="inlineStr">
        <is>
          <t>股东权益增减变动情形</t>
        </is>
      </c>
      <c r="D480" s="6" t="inlineStr">
        <is>
          <t>股東權益增減變動情形</t>
        </is>
      </c>
    </row>
    <row r="481" customFormat="1" s="8">
      <c r="A481" s="6" t="inlineStr">
        <is>
          <t>Chi tiết:</t>
        </is>
      </c>
      <c r="B481" s="6" t="inlineStr">
        <is>
          <t>Details are as follows:</t>
        </is>
      </c>
      <c r="C481" s="6" t="inlineStr">
        <is>
          <t>明细如下：</t>
        </is>
      </c>
      <c r="D481" s="6" t="inlineStr">
        <is>
          <t>明細如下：</t>
        </is>
      </c>
    </row>
    <row r="482" customFormat="1" s="8">
      <c r="A482" s="6" t="inlineStr">
        <is>
          <t>Chia lợi nhuận</t>
        </is>
      </c>
      <c r="B482" s="6" t="inlineStr">
        <is>
          <t>Payments of dividends</t>
        </is>
      </c>
      <c r="C482" s="6" t="inlineStr">
        <is>
          <t>利润分派</t>
        </is>
      </c>
      <c r="D482" s="6" t="inlineStr">
        <is>
          <t>利潤分派</t>
        </is>
      </c>
    </row>
    <row r="483" ht="27.6" customFormat="1" customHeight="1" s="8">
      <c r="A483" s="6" t="inlineStr">
        <is>
          <t>Chia lợi nhuận cho các chủ sở hữu</t>
        </is>
      </c>
      <c r="B483" s="6" t="inlineStr">
        <is>
          <t>Dividends paid to owners</t>
        </is>
      </c>
      <c r="C483" s="6" t="inlineStr">
        <is>
          <t>保留盈余分派予所有者</t>
        </is>
      </c>
      <c r="D483" s="6" t="inlineStr">
        <is>
          <t>保留盈餘分派予所有者</t>
        </is>
      </c>
    </row>
    <row r="484" ht="27.6" customFormat="1" customHeight="1" s="8">
      <c r="A484" s="6" t="inlineStr">
        <is>
          <t>Chia lợi nhuận cho các cổ đông của chủ sở hữu</t>
        </is>
      </c>
      <c r="B484" s="6" t="inlineStr">
        <is>
          <t>Dividends paid to owner's shareholders</t>
        </is>
      </c>
      <c r="C484" s="6" t="inlineStr">
        <is>
          <t>分派股息给股东</t>
        </is>
      </c>
      <c r="D484" s="6" t="inlineStr">
        <is>
          <t>分派股息給股東</t>
        </is>
      </c>
    </row>
    <row r="485" customFormat="1" s="8">
      <c r="A485" s="6" t="inlineStr">
        <is>
          <t>Chia lợi nhuận cho chủ sở hữu</t>
        </is>
      </c>
      <c r="B485" s="6" t="inlineStr">
        <is>
          <t>Dividends paid to owner</t>
        </is>
      </c>
      <c r="C485" s="6" t="inlineStr">
        <is>
          <t>保留盈余分派予所有者</t>
        </is>
      </c>
      <c r="D485" s="6" t="inlineStr">
        <is>
          <t>保留盈餘分派予所有者</t>
        </is>
      </c>
    </row>
    <row r="486" customFormat="1" s="8">
      <c r="A486" s="6" t="inlineStr">
        <is>
          <t>Chia lợi nhuận cho cổ đông</t>
        </is>
      </c>
      <c r="B486" s="6" t="inlineStr">
        <is>
          <t>Dividends paid to shareholders</t>
        </is>
      </c>
      <c r="C486" s="6" t="inlineStr">
        <is>
          <t>保留盈余分派予股东</t>
        </is>
      </c>
      <c r="D486" s="6" t="inlineStr">
        <is>
          <t>保留盈餘分派予股東</t>
        </is>
      </c>
    </row>
    <row r="487" ht="27.6" customFormat="1" customHeight="1" s="8">
      <c r="A487" s="6" t="inlineStr">
        <is>
          <t>Chiết khấu được hưởng của khách hàng</t>
        </is>
      </c>
      <c r="B487" s="6" t="inlineStr">
        <is>
          <t>Discounts received by customers</t>
        </is>
      </c>
      <c r="C487" s="6" t="inlineStr">
        <is>
          <t>向客户提供折扣</t>
        </is>
      </c>
      <c r="D487" s="6" t="inlineStr">
        <is>
          <t>向客戶提供折扣</t>
        </is>
      </c>
    </row>
    <row r="488" customFormat="1" s="8">
      <c r="A488" s="6" t="inlineStr">
        <is>
          <t>Chiết khấu thanh toán</t>
        </is>
      </c>
      <c r="B488" s="6" t="inlineStr">
        <is>
          <t>Payment discounts</t>
        </is>
      </c>
      <c r="C488" s="6" t="inlineStr">
        <is>
          <t>现金折扣</t>
        </is>
      </c>
      <c r="D488" s="6" t="inlineStr">
        <is>
          <t>現金折扣</t>
        </is>
      </c>
    </row>
    <row r="489" ht="27.6" customFormat="1" customHeight="1" s="8">
      <c r="A489" s="6" t="inlineStr">
        <is>
          <t>Chiết khấu thanh toán nhận được</t>
        </is>
      </c>
      <c r="B489" s="6" t="inlineStr">
        <is>
          <t>Payment discounts received</t>
        </is>
      </c>
      <c r="C489" s="6" t="inlineStr">
        <is>
          <t>收到现金折扣</t>
        </is>
      </c>
      <c r="D489" s="6" t="inlineStr">
        <is>
          <t>收到現金折扣</t>
        </is>
      </c>
    </row>
    <row r="490" customFormat="1" s="8">
      <c r="A490" s="6" t="inlineStr">
        <is>
          <t>Chiết khấu thương mại</t>
        </is>
      </c>
      <c r="B490" s="6" t="inlineStr">
        <is>
          <t>Trade discounts</t>
        </is>
      </c>
      <c r="C490" s="6" t="inlineStr">
        <is>
          <t>商业折扣</t>
        </is>
      </c>
      <c r="D490" s="6" t="inlineStr">
        <is>
          <t>商業折扣</t>
        </is>
      </c>
    </row>
    <row r="491" ht="27.6" customFormat="1" customHeight="1" s="8">
      <c r="A491" s="6" t="inlineStr">
        <is>
          <t>Chiết khấu thương mại và chiết khấu thanh toán</t>
        </is>
      </c>
      <c r="B491" s="6" t="inlineStr">
        <is>
          <t>Trade and payment discounts</t>
        </is>
      </c>
      <c r="C491" s="6" t="inlineStr">
        <is>
          <t>商业折扣和现金折扣</t>
        </is>
      </c>
      <c r="D491" s="6" t="inlineStr">
        <is>
          <t>商業折扣及現金折扣</t>
        </is>
      </c>
    </row>
    <row r="492" ht="110.4" customFormat="1" customHeight="1" s="8">
      <c r="A492" s="6" t="inlineStr">
        <is>
          <t>Chính sách của Công ty là thường xuyên giám sát các yêu cầu thanh khoản hiện tại và tương lai nhằm đảm bảo Công ty có thể duy trì dự trữ tiền mặt đầy đủ để có thể đáp ứng các yêu cầu thanh khoản trong ngắn hạn và trung hạn.</t>
        </is>
      </c>
      <c r="B492" s="6" t="inlineStr">
        <is>
          <t>The Company's policy is to regularly monitor current and expected liquidity requirements to ensure that the Company maintains sufficient reserves of cash to meet its liquidity requirements in the short and medium term.</t>
        </is>
      </c>
      <c r="C492" s="6" t="inlineStr">
        <is>
          <t>公司针对当前及未来流动性需求建立适当风险管理政策并经常进行风险跟踪，以确保其保持足够现金储备以支应短期或中期流动性需求。</t>
        </is>
      </c>
      <c r="D492" s="6" t="inlineStr">
        <is>
          <t>公司針對當前及未來流動性需求建立適當風險管理政策並經常進行風險跟蹤，以確保其保持足夠現金儲備以支應短期或中期流動性需求。</t>
        </is>
      </c>
    </row>
    <row r="493" customFormat="1" s="8">
      <c r="A493" s="6" t="inlineStr">
        <is>
          <t>Cho mượn tiền</t>
        </is>
      </c>
      <c r="B493" s="6" t="inlineStr">
        <is>
          <t>Loans</t>
        </is>
      </c>
      <c r="C493" s="6" t="inlineStr">
        <is>
          <t>借用款</t>
        </is>
      </c>
      <c r="D493" s="6" t="inlineStr">
        <is>
          <t>借用款</t>
        </is>
      </c>
    </row>
    <row r="494" customFormat="1" s="8">
      <c r="A494" s="6" t="inlineStr">
        <is>
          <t>Cho vay</t>
        </is>
      </c>
      <c r="B494" s="6" t="inlineStr">
        <is>
          <t>Loans</t>
        </is>
      </c>
      <c r="C494" s="6" t="inlineStr">
        <is>
          <t>贷款</t>
        </is>
      </c>
      <c r="D494" s="6" t="inlineStr">
        <is>
          <t>貸款</t>
        </is>
      </c>
    </row>
    <row r="495" customFormat="1" s="8">
      <c r="A495" s="6" t="inlineStr">
        <is>
          <t>Cho vay tiền</t>
        </is>
      </c>
      <c r="B495" s="6" t="inlineStr">
        <is>
          <t>Loans</t>
        </is>
      </c>
      <c r="C495" s="6" t="inlineStr">
        <is>
          <t>出借款</t>
        </is>
      </c>
      <c r="D495" s="6" t="inlineStr">
        <is>
          <t>出借款</t>
        </is>
      </c>
    </row>
    <row r="496" customFormat="1" s="8">
      <c r="A496" s="6" t="inlineStr">
        <is>
          <t>Chủ đầu tư</t>
        </is>
      </c>
      <c r="B496" s="6" t="inlineStr">
        <is>
          <t>Investor</t>
        </is>
      </c>
      <c r="C496" s="6" t="inlineStr">
        <is>
          <t>投资者</t>
        </is>
      </c>
      <c r="D496" s="6" t="inlineStr">
        <is>
          <t>投資者</t>
        </is>
      </c>
    </row>
    <row r="497" ht="27.6" customFormat="1" customHeight="1" s="8">
      <c r="A497" s="6" t="inlineStr">
        <is>
          <t>Chu kỳ kinh doanh thông thường</t>
        </is>
      </c>
      <c r="B497" s="6" t="inlineStr">
        <is>
          <t>Ordinary business cycle</t>
        </is>
      </c>
      <c r="C497" s="6" t="inlineStr">
        <is>
          <t>公司一般经营周期</t>
        </is>
      </c>
      <c r="D497" s="6" t="inlineStr">
        <is>
          <t>公司一般經營周期</t>
        </is>
      </c>
    </row>
    <row r="498" ht="41.4" customFormat="1" customHeight="1" s="8">
      <c r="A498" s="6" t="inlineStr">
        <is>
          <t>Chu kỳ kinh doanh thông thường của Công ty không quá 12 tháng.</t>
        </is>
      </c>
      <c r="B498" s="6" t="inlineStr">
        <is>
          <t>Ordinary business cycle of the Company does not exceed 12 months.</t>
        </is>
      </c>
      <c r="C498" s="6" t="inlineStr">
        <is>
          <t>公司一般经营周期不超过12个月。</t>
        </is>
      </c>
      <c r="D498" s="6" t="inlineStr">
        <is>
          <t>公司一般經營周期不超過12個月。</t>
        </is>
      </c>
    </row>
    <row r="499" ht="41.4" customFormat="1" customHeight="1" s="8">
      <c r="A499" s="6" t="inlineStr">
        <is>
          <t>Chu kỳ sản xuất kinh doanh thông thường của Công ty không quá 12 tháng.</t>
        </is>
      </c>
      <c r="B499" s="6" t="inlineStr">
        <is>
          <t>Ordinary business cycle of the Company does not exceed 12 months.</t>
        </is>
      </c>
      <c r="C499" s="6" t="inlineStr">
        <is>
          <t>公司一般经营、生产周期不超过12个月。</t>
        </is>
      </c>
      <c r="D499" s="6" t="inlineStr">
        <is>
          <t>公司一般經營、生產周期不超過12個月。</t>
        </is>
      </c>
    </row>
    <row r="500" ht="27.6" customFormat="1" customHeight="1" s="8">
      <c r="A500" s="6" t="inlineStr">
        <is>
          <t>Chu kỳ sản xuất, kinh doanh thông thường</t>
        </is>
      </c>
      <c r="B500" s="6" t="inlineStr">
        <is>
          <t>Ordinary business cycle</t>
        </is>
      </c>
      <c r="C500" s="6" t="inlineStr">
        <is>
          <t>一般经营、生产周期</t>
        </is>
      </c>
      <c r="D500" s="6" t="inlineStr">
        <is>
          <t>一般經營、生產周期</t>
        </is>
      </c>
    </row>
    <row r="501" customFormat="1" s="8">
      <c r="A501" s="6" t="inlineStr">
        <is>
          <t>Chủ sở hữu</t>
        </is>
      </c>
      <c r="B501" s="6" t="inlineStr">
        <is>
          <t>Owner</t>
        </is>
      </c>
      <c r="C501" s="6" t="inlineStr">
        <is>
          <t>公司所有者</t>
        </is>
      </c>
      <c r="D501" s="6" t="inlineStr">
        <is>
          <t>公司所有者</t>
        </is>
      </c>
    </row>
    <row r="502" customFormat="1" s="8">
      <c r="A502" s="6" t="inlineStr">
        <is>
          <t>Chủ sở hữu - Giám đốc</t>
        </is>
      </c>
      <c r="B502" s="6" t="inlineStr">
        <is>
          <t>Owner - Director</t>
        </is>
      </c>
      <c r="C502" s="6" t="inlineStr">
        <is>
          <t>所有者 - 经理</t>
        </is>
      </c>
      <c r="D502" s="6" t="inlineStr">
        <is>
          <t>所有者 - 經理</t>
        </is>
      </c>
    </row>
    <row r="503" ht="27.6" customFormat="1" customHeight="1" s="8">
      <c r="A503" s="6" t="inlineStr">
        <is>
          <t>Chủ sở hữu - Giám đốc điều hành</t>
        </is>
      </c>
      <c r="B503" s="6" t="inlineStr">
        <is>
          <t>Owner - Managing Director</t>
        </is>
      </c>
      <c r="C503" s="6" t="inlineStr">
        <is>
          <t>所有者 - 执行总监</t>
        </is>
      </c>
      <c r="D503" s="6" t="inlineStr">
        <is>
          <t>所有者 - 執行總監</t>
        </is>
      </c>
    </row>
    <row r="504" customFormat="1" s="8">
      <c r="A504" s="6" t="inlineStr">
        <is>
          <t>Chủ sở hữu cũ</t>
        </is>
      </c>
      <c r="B504" s="6" t="inlineStr">
        <is>
          <t>Former Owner</t>
        </is>
      </c>
      <c r="C504" s="6" t="inlineStr">
        <is>
          <t>前任所有者</t>
        </is>
      </c>
      <c r="D504" s="6" t="inlineStr">
        <is>
          <t>前任所有者</t>
        </is>
      </c>
    </row>
    <row r="505" customFormat="1" s="8">
      <c r="A505" s="6" t="inlineStr">
        <is>
          <t>Chủ tịch</t>
        </is>
      </c>
      <c r="B505" s="6" t="inlineStr">
        <is>
          <t>Chairman</t>
        </is>
      </c>
      <c r="C505" s="6" t="inlineStr">
        <is>
          <t>董事长</t>
        </is>
      </c>
      <c r="D505" s="6" t="inlineStr">
        <is>
          <t>董事長</t>
        </is>
      </c>
    </row>
    <row r="506" customFormat="1" s="8">
      <c r="A506" s="6" t="inlineStr">
        <is>
          <t>Chủ tịch Ban điều hành</t>
        </is>
      </c>
      <c r="B506" s="6" t="inlineStr">
        <is>
          <t>Chairman of Executive Board</t>
        </is>
      </c>
      <c r="C506" s="6" t="inlineStr">
        <is>
          <t>执行董事长</t>
        </is>
      </c>
      <c r="D506" s="6" t="inlineStr">
        <is>
          <t>執行董事長</t>
        </is>
      </c>
    </row>
    <row r="507" ht="96.59999999999999" customFormat="1" customHeight="1" s="8">
      <c r="A507" s="6" t="inlineStr">
        <is>
          <t xml:space="preserve">Chủ tịch chịu trách nhiệm đảm bảo rằng sổ sách kế toán được ghi chép một cách phù hợp để phản ánh một cách hợp lý tình hình tài chính của Công ty ở bất kỳ thời điểm nào. </t>
        </is>
      </c>
      <c r="B507" s="6" t="inlineStr">
        <is>
          <t xml:space="preserve">Chairman is responsible for ensuring that proper accounting records are kept, which disclose, with reasonable accuracy at any time, the financial position of the Company. </t>
        </is>
      </c>
      <c r="C507" s="6" t="inlineStr">
        <is>
          <t>董事长应负责保证会计账簿适当地记载且公允地反映公司在某个时间点的财务状况。</t>
        </is>
      </c>
      <c r="D507" s="6" t="inlineStr">
        <is>
          <t>董事長應負責保證會計帳簿適當地記載且公允地反映公司於某個時間點之財務狀況。</t>
        </is>
      </c>
    </row>
    <row r="508" customFormat="1" s="8">
      <c r="A508" s="6" t="inlineStr">
        <is>
          <t>Chủ tịch Công ty</t>
        </is>
      </c>
      <c r="B508" s="6" t="inlineStr">
        <is>
          <t>Chairman</t>
        </is>
      </c>
      <c r="C508" s="6" t="inlineStr">
        <is>
          <t>公司董事长</t>
        </is>
      </c>
      <c r="D508" s="6" t="inlineStr">
        <is>
          <t>公司董事長</t>
        </is>
      </c>
    </row>
    <row r="509" ht="234.6" customFormat="1" customHeight="1" s="8">
      <c r="A509" s="6" t="inlineStr">
        <is>
          <t>Chủ tịch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mà Chủ tịch xác định là cần thiết để đảm bảo cho việc lập và trình bày Báo cáo tài chính không có sai sót trọng yếu do gian lận hoặc nhầm lẫn.</t>
        </is>
      </c>
      <c r="B509" s="6" t="inlineStr">
        <is>
          <t>Chairman is responsible for the preparation and fair presentation of these financial statements in accordance with Vietnamese Accounting Standards, the Vietnamese Enterprise Accounting System and applicable regulations relevant to the preparation and presentation of financial statements and for such internal control as Chairman determines is necessary to enable the preparation of financial statements that are free from material misstatement, whether due to fraud or error.</t>
        </is>
      </c>
      <c r="C509" s="6" t="inlineStr">
        <is>
          <t>公司董事长负责按照《越南会计准则》、《越南企业会计制度》以及财务报表编制和列报的相关法规编制财务报表，并使其实现公允反映，以及对董事长确定必要的内部控制负有责任，以使财务报表的编制与列报不存在由于舞弊或错误导致的重大错报。</t>
        </is>
      </c>
      <c r="D509" s="6" t="inlineStr">
        <is>
          <t>公司董事長負責按照《越南會計準則》、《越南企業會計制度》以及財務報表編製及列報之相關法規編製財務報表，並使其實現公允反映，以及對董事長確定必要之內部控制負有責任，以使財務報表之編製與列報不存在由於舞弊或錯誤導致之重大錯報。</t>
        </is>
      </c>
    </row>
    <row r="510" ht="138" customFormat="1" customHeight="1" s="8">
      <c r="A510" s="6" t="inlineStr">
        <is>
          <t>Chủ tịch Công ty có trách nhiệm lập Báo cáo tài chính từng năm, phản ánh một cách trung thực và hợp lý tình hình tài chính của Công ty, cũng như kết quả hoạt động kinh doanh và tình hình lưu chuyển tiền tệ trong năm. Trong việc lập Báo cáo tài chính này, Chủ tịch được yêu cầu phải:</t>
        </is>
      </c>
      <c r="B510" s="6" t="inlineStr">
        <is>
          <t>Chairman is responsible for preparing the financial statements of each fiscal year, which give a true and fair view of the state of affairs of the Company and of its operations and cash flows for the year. In preparing those financial statements, Chairman is required to:</t>
        </is>
      </c>
      <c r="C510" s="6" t="inlineStr">
        <is>
          <t>公司董事长应负责编制每年度的财务报表，并使其真实、公允地反映公司年度内的财务状况、营业活动结果和现金流量状况。对于本财务报表的编制，董事长必须：</t>
        </is>
      </c>
      <c r="D510" s="6" t="inlineStr">
        <is>
          <t>公司董事長應負責編製每年度之財務報表，並使其真實、公允地反映公司年度內之財務狀況、營業活動結果以及現金流量狀況。對於本財務報表之編製，董事長必須：</t>
        </is>
      </c>
    </row>
    <row r="511" ht="69" customFormat="1" customHeight="1" s="8">
      <c r="A511" s="6" t="inlineStr">
        <is>
          <t>Chủ tịch Công ty và Giám đốc Công ty đã điều hành Công ty trong suốt năm và đến ngày lập báo cáo gồm:</t>
        </is>
      </c>
      <c r="B511" s="6" t="inlineStr">
        <is>
          <t>Chairman and Director of the Company who have held business during the year and at the date of this report are as follows:</t>
        </is>
      </c>
      <c r="C511" s="6" t="inlineStr">
        <is>
          <t>公司董事长和公司经理，已经负责维持公司整年度截至编制报表当日的运作，详细如下：</t>
        </is>
      </c>
      <c r="D511" s="6" t="inlineStr">
        <is>
          <t>公司董事長及公司經理，業已負責維持公司整年度截至編製報表當日之運作，詳細如下：</t>
        </is>
      </c>
    </row>
    <row r="512" ht="69" customFormat="1" customHeight="1" s="8">
      <c r="A512" s="6" t="inlineStr">
        <is>
          <t>Chủ tịch Công ty và Tổng Giám đốc Công ty đã điều hành Công ty trong suốt năm và đến ngày lập báo cáo gồm:</t>
        </is>
      </c>
      <c r="B512" s="6" t="inlineStr">
        <is>
          <t>Chairman and General Director of the Company who have held business during the year and at the date of this report are as follows:</t>
        </is>
      </c>
      <c r="C512" s="6" t="inlineStr">
        <is>
          <t>公司董事长和总经理，已经负责维持公司整年度截至编制报表当日的运作，详细如下：</t>
        </is>
      </c>
      <c r="D512" s="6" t="inlineStr">
        <is>
          <t>公司董事長及總經理，業已負責維持公司整年度截至編製報表當日之運作，詳細如下：</t>
        </is>
      </c>
    </row>
    <row r="513" ht="96.59999999999999" customFormat="1" customHeight="1" s="8">
      <c r="A513" s="6" t="inlineStr">
        <is>
          <t>Chủ tịch cũng chịu trách nhiệm đảm bảo an toàn cho tài sản của Công ty và vì vậy thực hiện các biện pháp thích hợp để ngăn chặn và phát hiện các hành vi gian lận và sai phạm khác.</t>
        </is>
      </c>
      <c r="B513" s="6" t="inlineStr">
        <is>
          <t>Chairman is also responsible for safeguarding the assets of the Company and hence for taking reasonable steps for the prevention and detection of fraud and other irregularities.</t>
        </is>
      </c>
      <c r="C513" s="6" t="inlineStr">
        <is>
          <t>董事长亦负责确保公司财产的安全，所以已采取适当措施以防止或发现舞弊及其他违法行为。</t>
        </is>
      </c>
      <c r="D513" s="6" t="inlineStr">
        <is>
          <t>董事長亦負責確保公司財產之安全，所以已採取適當措施以防止或發現舞弊及其他違法行為。</t>
        </is>
      </c>
    </row>
    <row r="514" ht="27.6" customFormat="1" customHeight="1" s="8">
      <c r="A514" s="6" t="inlineStr">
        <is>
          <t>Chủ tịch Hội đồng Quản trị</t>
        </is>
      </c>
      <c r="B514" s="6" t="inlineStr">
        <is>
          <t>Chairman of the Board of Directors</t>
        </is>
      </c>
      <c r="C514" s="6" t="inlineStr">
        <is>
          <t>董事会主席</t>
        </is>
      </c>
      <c r="D514" s="6" t="inlineStr">
        <is>
          <t>董事會主席</t>
        </is>
      </c>
    </row>
    <row r="515" ht="27.6" customFormat="1" customHeight="1" s="8">
      <c r="A515" s="6" t="inlineStr">
        <is>
          <t>Chủ tịch Hội đồng Quản trị kiêm Tổng Giám đốc</t>
        </is>
      </c>
      <c r="B515" s="6" t="inlineStr">
        <is>
          <t>Chairman of the Board of Directors cum General Director</t>
        </is>
      </c>
      <c r="C515" s="6" t="inlineStr">
        <is>
          <t>董事会主席兼任总经理</t>
        </is>
      </c>
      <c r="D515" s="6" t="inlineStr">
        <is>
          <t>董事會主席兼任總經理</t>
        </is>
      </c>
    </row>
    <row r="516" ht="41.4" customFormat="1" customHeight="1" s="8">
      <c r="A516" s="6" t="inlineStr">
        <is>
          <t>Chủ tịch Hội đồng Thành viên kiêm Giám đốc điều hành</t>
        </is>
      </c>
      <c r="B516" s="6" t="inlineStr">
        <is>
          <t>Chairman of the Board of Members cum Managing Director</t>
        </is>
      </c>
      <c r="C516" s="6" t="inlineStr">
        <is>
          <t>董事长兼任执行总监</t>
        </is>
      </c>
      <c r="D516" s="6" t="inlineStr">
        <is>
          <t>董事長兼任執行總監</t>
        </is>
      </c>
    </row>
    <row r="517" ht="27.6" customFormat="1" customHeight="1" s="8">
      <c r="A517" s="6" t="inlineStr">
        <is>
          <t>Chủ tịch Hội đồng Thành viên kiêm Tổng Giám đốc</t>
        </is>
      </c>
      <c r="B517" s="6" t="inlineStr">
        <is>
          <t>Chairman of the Board of Members cum General Director</t>
        </is>
      </c>
      <c r="C517" s="6" t="inlineStr">
        <is>
          <t>董事长兼总经理</t>
        </is>
      </c>
      <c r="D517" s="6" t="inlineStr">
        <is>
          <t>董事長兼總經理</t>
        </is>
      </c>
    </row>
    <row r="518" ht="41.4" customFormat="1" customHeight="1" s="8">
      <c r="A518" s="6" t="inlineStr">
        <is>
          <t>Chủ tịch Hội đồng Thành viên kiêm Tổng Giám đốc Công ty</t>
        </is>
      </c>
      <c r="B518" s="6" t="inlineStr">
        <is>
          <t>Chairman of the Board of Members cum General Director of the Company</t>
        </is>
      </c>
      <c r="C518" s="6" t="inlineStr">
        <is>
          <t>董事长兼总经理</t>
        </is>
      </c>
      <c r="D518" s="6" t="inlineStr">
        <is>
          <t>董事長兼總經理</t>
        </is>
      </c>
    </row>
    <row r="519" ht="69" customFormat="1" customHeight="1" s="8">
      <c r="A519" s="6" t="inlineStr">
        <is>
          <t>Chủ tịch Hội đồng Thành viên kiêm Tổng Giám đốc Công ty, đã điều hành Công ty trong suốt năm và đến ngày lập báo cáo.</t>
        </is>
      </c>
      <c r="B519" s="6" t="inlineStr">
        <is>
          <t>Chairman of the Board of Members cum General Director of the Company, who has held business during the year and at the date of this report.</t>
        </is>
      </c>
      <c r="C519" s="6" t="inlineStr">
        <is>
          <t>公司董事长兼任总经理，已经负责维持公司整年度截至编制报表当日的运作。</t>
        </is>
      </c>
      <c r="D519" s="6" t="inlineStr">
        <is>
          <t>公司董事長兼任總經理，業已負責維持公司整年度截至編製報表當日之運作。</t>
        </is>
      </c>
    </row>
    <row r="520" ht="69" customFormat="1" customHeight="1" s="8">
      <c r="A520" s="6" t="inlineStr">
        <is>
          <t>Chủ tịch kiêm Giám đốc Công ty, đã điều hành Công ty trong suốt năm và đến ngày lập báo cáo.</t>
        </is>
      </c>
      <c r="B520" s="6" t="inlineStr">
        <is>
          <t>Chairman cum General Director of the Company, who has held business during the year and at the date of this report.</t>
        </is>
      </c>
      <c r="C520" s="6" t="inlineStr">
        <is>
          <t>公司董事长兼任经理，已经负责维持公司整年度截至编制报表当日的运作。</t>
        </is>
      </c>
      <c r="D520" s="6" t="inlineStr">
        <is>
          <t>公司董事長兼任經理，業已負責維持公司整年度截至編製報表當日之運作。</t>
        </is>
      </c>
    </row>
    <row r="521" ht="27.6" customFormat="1" customHeight="1" s="8">
      <c r="A521" s="6" t="inlineStr">
        <is>
          <t>Chủ tịch kiêm Tổng Giám đốc</t>
        </is>
      </c>
      <c r="B521" s="6" t="inlineStr">
        <is>
          <t>Chairman cum General Director</t>
        </is>
      </c>
      <c r="C521" s="6" t="inlineStr">
        <is>
          <t>董事长兼任总经理</t>
        </is>
      </c>
      <c r="D521" s="6" t="inlineStr">
        <is>
          <t>公司董事長兼任總經理</t>
        </is>
      </c>
    </row>
    <row r="522" ht="27.6" customFormat="1" customHeight="1" s="8">
      <c r="A522" s="6" t="inlineStr">
        <is>
          <t>Chủ tịch kiêm Tổng Giám đốc Công ty</t>
        </is>
      </c>
      <c r="B522" s="6" t="inlineStr">
        <is>
          <t>Chairman cum General Director</t>
        </is>
      </c>
      <c r="C522" s="6" t="inlineStr">
        <is>
          <t>公司董事长兼任总经理</t>
        </is>
      </c>
      <c r="D522" s="6" t="inlineStr">
        <is>
          <t>公司董事長兼任總經理</t>
        </is>
      </c>
    </row>
    <row r="523" ht="69" customFormat="1" customHeight="1" s="8">
      <c r="A523" s="6" t="inlineStr">
        <is>
          <t>Chủ tịch kiêm Tổng Giám đốc Công ty, đã điều hành Công ty trong suốt năm và đến ngày lập báo cáo.</t>
        </is>
      </c>
      <c r="B523" s="6" t="inlineStr">
        <is>
          <t>Chairman cum General Director of the Company, who has held business during the year and at the date of this report.</t>
        </is>
      </c>
      <c r="C523" s="6" t="inlineStr">
        <is>
          <t>公司董事长兼任总经理，已经负责维持公司整年度截至编制报表当日的运作。</t>
        </is>
      </c>
      <c r="D523" s="6" t="inlineStr">
        <is>
          <t>公司董事長兼任總經理，業已負責維持公司整年度截至編製報表當日之運作。</t>
        </is>
      </c>
    </row>
    <row r="524" ht="69" customFormat="1" customHeight="1" s="8">
      <c r="A524" s="6" t="inlineStr">
        <is>
          <t>Chủ tịch và Ban Giám đốc Công ty đã điều hành Công ty trong suốt năm và đến ngày lập báo cáo gồm:</t>
        </is>
      </c>
      <c r="B524" s="6" t="inlineStr">
        <is>
          <t>Chairman and the Board of Management of the Company who have held business during the year and at the date of this report are as follows:</t>
        </is>
      </c>
      <c r="C524" s="6" t="inlineStr">
        <is>
          <t>公司董事长及管理阶层，已经负责维持公司整年度截至编制报表当日的运作，詳細如下：</t>
        </is>
      </c>
      <c r="D524" s="6" t="inlineStr">
        <is>
          <t>公司董事長及管理階層，已經負責維持公司整年度截至編制報表當日的運作，詳細如下：</t>
        </is>
      </c>
    </row>
    <row r="525" ht="69" customFormat="1" customHeight="1" s="8">
      <c r="A525" s="6" t="inlineStr">
        <is>
          <t>Chủ tịch và Giám đốc Công ty đã điều hành Công ty trong suốt năm và đến ngày lập báo cáo gồm:</t>
        </is>
      </c>
      <c r="B525" s="6" t="inlineStr">
        <is>
          <t>Chairman and Director of the Company who have held business during the year and at the date of this report are as follows:</t>
        </is>
      </c>
      <c r="C525" s="6" t="inlineStr">
        <is>
          <t>公司董事长和经理，已经负责维持公司整年度截至编制报表当日的运作，详细如下：</t>
        </is>
      </c>
      <c r="D525" s="6" t="inlineStr">
        <is>
          <t>公司董事長及經理，業已負責維持公司整年度截至編製報表當日之運作，詳細如下：</t>
        </is>
      </c>
    </row>
    <row r="526" ht="69" customFormat="1" customHeight="1" s="8">
      <c r="A526" s="6" t="inlineStr">
        <is>
          <t>Chủ tịch và Tổng Giám đốc Công ty đã điều hành Công ty trong suốt năm và đến ngày lập báo cáo gồm:</t>
        </is>
      </c>
      <c r="B526" s="6" t="inlineStr">
        <is>
          <t>Chairman and General Director of the Company who have held business during the year and at the date of this report are as follows:</t>
        </is>
      </c>
      <c r="C526" s="6" t="inlineStr">
        <is>
          <t>公司董事长和总经理，已经负责维持公司整年度截至编制报表当日的运作，详细如下：</t>
        </is>
      </c>
      <c r="D526" s="6" t="inlineStr">
        <is>
          <t>公司董事長和總經理，已經負責維持公司整年度截至編制報表當日的運作，詳細如下：</t>
        </is>
      </c>
    </row>
    <row r="527" ht="69" customFormat="1" customHeight="1" s="8">
      <c r="A527" s="6" t="inlineStr">
        <is>
          <t>Chủ tịch và Tổng Giám đốc đã điều hành Công ty trong suốt năm và đến ngày lập báo cáo gồm:</t>
        </is>
      </c>
      <c r="B527" s="6" t="inlineStr">
        <is>
          <t>Chairman and General Director of the Company who have held business during the year and at the date of this report are as follows:</t>
        </is>
      </c>
      <c r="C527" s="6" t="inlineStr">
        <is>
          <t>公司董事长和总经理，已经负责维持公司整年度截至编制报表当日的运作，详细如下：</t>
        </is>
      </c>
      <c r="D527" s="6" t="inlineStr">
        <is>
          <t>公司董事長和總經理，已經負責維持公司整年度截至編制報表當日的運作，詳細如下：</t>
        </is>
      </c>
    </row>
    <row r="528" ht="69" customFormat="1" customHeight="1" s="8">
      <c r="A528" s="6" t="inlineStr">
        <is>
          <t>Chủ tịch xác nhận rằng Công ty đã tuân thủ các yêu cầu nêu trên trong việc lập Báo cáo tài chính.</t>
        </is>
      </c>
      <c r="B528" s="6" t="inlineStr">
        <is>
          <t>Chairman confirms that the Company has complied with the above requirements in preparing the financial statements.</t>
        </is>
      </c>
      <c r="C528" s="6" t="inlineStr">
        <is>
          <t>董事长确认，公司在编制财务报表过程中已遵守上述要求。</t>
        </is>
      </c>
      <c r="D528" s="6" t="inlineStr">
        <is>
          <t>董事長確認，公司在編製財務報表過程中已遵守上述要求。</t>
        </is>
      </c>
    </row>
    <row r="529" customFormat="1" s="8">
      <c r="A529" s="6" t="inlineStr">
        <is>
          <t>Chứng chỉ ISO</t>
        </is>
      </c>
      <c r="B529" s="6" t="inlineStr">
        <is>
          <t>ISO Certificate</t>
        </is>
      </c>
      <c r="C529" s="6" t="inlineStr">
        <is>
          <t>ISO认证</t>
        </is>
      </c>
      <c r="D529" s="6" t="inlineStr">
        <is>
          <t>ISO認證</t>
        </is>
      </c>
    </row>
    <row r="530" customFormat="1" s="8">
      <c r="A530" s="6" t="inlineStr">
        <is>
          <t>Chứng khoán kinh doanh</t>
        </is>
      </c>
      <c r="B530" s="6" t="inlineStr">
        <is>
          <t>Trading securities</t>
        </is>
      </c>
      <c r="C530" s="6" t="inlineStr">
        <is>
          <t>交易性证劵</t>
        </is>
      </c>
      <c r="D530" s="6" t="inlineStr">
        <is>
          <t xml:space="preserve">	交易性證券</t>
        </is>
      </c>
    </row>
    <row r="531" ht="234.6" customFormat="1" customHeight="1" s="8">
      <c r="A531" s="6" t="inlineStr">
        <is>
          <t>Chứng khoán kinh doanh là loại chứng khoán được công ty nắm giữ với mục đích kinh doanh. Chứng khoán kinh doanh được ghi nhận ban đầu theo giá gốc bao gồm giá mua cộng các chi phí mua. Sau ghi nhận ban đầu, chứng khoán kinh doanh được xác định theo giá gốc trừ đi dự phòng giảm giá chứng khoán kinh doanh. Dự phòng chứng khoán kinh doanh được lập khi giá thị trường của chứng khoán thấp hơn giá trị ghi sổ của chúng.</t>
        </is>
      </c>
      <c r="B531" s="6" t="inlineStr">
        <is>
          <t>Trading securities are securities which are held by the Company for business purposes. Trading securities are initially recognized at historical costs including buying prices plus buying costs. After initial recognition, the trading securities are determined by deducting the historical costs against the provision for devaluation of trading securities. Provision for decline in value of trading securities shall be made when the market prices of trading securities are lower than their book value.</t>
        </is>
      </c>
      <c r="C531" s="6" t="inlineStr">
        <is>
          <t>交易性证券是公司为投资而持有的一种证券。交易性证券以原始成本（原价）认列，其成本包含购买价款加计相关费用。在原始认列后，交易性证券的帐面价值等于原始成本（原价）冲减证券跌价损失准备。若证券市价低于其帐面价值，则应预提证券跌价损失准备（备抵）。</t>
        </is>
      </c>
      <c r="D531" s="6" t="inlineStr">
        <is>
          <t>交易性證券乃公司為投資而持有之一種證券。交易性證券以原始成本（原價）認列，其成本包含購買價款加計相關費用。在原始認列後，交易性證券之帳面價值等於原始成本（原價）沖減證券跌價損失準備。若證券市價低於其帳面價值，則應預提證券跌價損失準備（備抵）。</t>
        </is>
      </c>
    </row>
    <row r="532" customFormat="1" s="8">
      <c r="A532" s="6" t="inlineStr">
        <is>
          <t>Chung nhà quản lý chủ chốt</t>
        </is>
      </c>
      <c r="B532" s="6" t="inlineStr">
        <is>
          <t>Same key managers</t>
        </is>
      </c>
      <c r="C532" s="6" t="inlineStr">
        <is>
          <t>同一高层管理者</t>
        </is>
      </c>
      <c r="D532" s="6" t="inlineStr">
        <is>
          <t>同一高層管理者</t>
        </is>
      </c>
    </row>
    <row r="533" ht="82.8" customFormat="1" customHeight="1" s="8">
      <c r="A533" s="6" t="inlineStr">
        <is>
          <t>Chúng tôi tin tưởng rằng các bằng chứng kiểm toán mà chúng tôi đã thu thập được là đầy đủ và thích hợp làm cơ sở cho ý kiến kiểm toán của chúng tôi.</t>
        </is>
      </c>
      <c r="B533" s="6" t="inlineStr">
        <is>
          <t>We believe that the audit evidence we have obtained is sufficient and appropriate to provide a basis for our audit opinion.</t>
        </is>
      </c>
      <c r="C533" s="6" t="inlineStr">
        <is>
          <t>本会计师相信，我们已获取足够及适切的查核证据，以作为表示查核意见的基础。</t>
        </is>
      </c>
      <c r="D533" s="6" t="inlineStr">
        <is>
          <t>本會計師相信，我們已獲取足夠及適切之查核證據，以作為表示查核意見之基礎。</t>
        </is>
      </c>
    </row>
    <row r="534" customFormat="1" s="8">
      <c r="A534" s="6" t="inlineStr">
        <is>
          <t>Chương trình phần mềm</t>
        </is>
      </c>
      <c r="B534" s="6" t="inlineStr">
        <is>
          <t>Software program</t>
        </is>
      </c>
      <c r="C534" s="6" t="inlineStr">
        <is>
          <t>软体程式</t>
        </is>
      </c>
      <c r="D534" s="6" t="inlineStr">
        <is>
          <t>軟體程式</t>
        </is>
      </c>
    </row>
    <row r="535" customFormat="1" s="8">
      <c r="A535" s="6" t="inlineStr">
        <is>
          <t>Chuyển lợi nhuận</t>
        </is>
      </c>
      <c r="B535" s="6" t="inlineStr">
        <is>
          <t>Profit transfer</t>
        </is>
      </c>
      <c r="C535" s="6" t="inlineStr">
        <is>
          <t>盈余汇出</t>
        </is>
      </c>
      <c r="D535" s="6" t="inlineStr">
        <is>
          <t>盈餘匯出</t>
        </is>
      </c>
    </row>
    <row r="536" ht="41.4" customFormat="1" customHeight="1" s="8">
      <c r="A536" s="6" t="inlineStr">
        <is>
          <t>Chuyển vay ngắn hạn sang vay dài hạn</t>
        </is>
      </c>
      <c r="B536" s="6" t="inlineStr">
        <is>
          <t>Short-term borrowings converted to long-term borrowings</t>
        </is>
      </c>
      <c r="C536" s="6" t="inlineStr">
        <is>
          <t>短期借款转为长期借款</t>
        </is>
      </c>
      <c r="D536" s="6" t="inlineStr">
        <is>
          <t>短期借款轉為長期借款</t>
        </is>
      </c>
    </row>
    <row r="537" ht="27.6" customFormat="1" customHeight="1" s="8">
      <c r="A537" s="6" t="inlineStr">
        <is>
          <t>Chuyển vay ngắn hạn thành vay dài hạn</t>
        </is>
      </c>
      <c r="B537" s="6" t="inlineStr">
        <is>
          <t>Short-term borrowings changed to long-term borrowings</t>
        </is>
      </c>
      <c r="C537" s="6" t="inlineStr">
        <is>
          <t>短期借款转列长期借款</t>
        </is>
      </c>
      <c r="D537" s="6" t="inlineStr">
        <is>
          <t>短期借款轉列長期借款</t>
        </is>
      </c>
    </row>
    <row r="538" ht="27.6" customFormat="1" customHeight="1" s="8">
      <c r="A538" s="6" t="inlineStr">
        <is>
          <t>Chuyển vay thành vốn góp</t>
        </is>
      </c>
      <c r="B538" s="6" t="inlineStr">
        <is>
          <t>Conversion of loans into capital contribution</t>
        </is>
      </c>
      <c r="C538" s="6" t="inlineStr">
        <is>
          <t>债务转为资本</t>
        </is>
      </c>
      <c r="D538" s="6" t="inlineStr">
        <is>
          <t>債務轉為資本</t>
        </is>
      </c>
    </row>
    <row r="539" customFormat="1" s="8">
      <c r="A539" s="6" t="inlineStr">
        <is>
          <t>Cổ đông</t>
        </is>
      </c>
      <c r="B539" s="6" t="inlineStr">
        <is>
          <t xml:space="preserve">Shareholder </t>
        </is>
      </c>
      <c r="C539" s="6" t="inlineStr">
        <is>
          <t>股东</t>
        </is>
      </c>
      <c r="D539" s="6" t="inlineStr">
        <is>
          <t>股東</t>
        </is>
      </c>
    </row>
    <row r="540" ht="41.4" customFormat="1" customHeight="1" s="8">
      <c r="A540" s="6" t="inlineStr">
        <is>
          <t>Cổ đông - Chủ tịch Hội đồng Quản trị kiêm Giám đốc Công ty</t>
        </is>
      </c>
      <c r="B540" s="6" t="inlineStr">
        <is>
          <t>Shareholder - Chairman of the Board of Directors cum Director</t>
        </is>
      </c>
      <c r="C540" s="6" t="inlineStr">
        <is>
          <t>股东-公司董事会主席兼任经理</t>
        </is>
      </c>
      <c r="D540" s="6" t="inlineStr">
        <is>
          <t>股東-公司董事會主席兼任經理</t>
        </is>
      </c>
    </row>
    <row r="541" ht="27.6" customFormat="1" customHeight="1" s="8">
      <c r="A541" s="6" t="inlineStr">
        <is>
          <t>Cổ đông - Thành viên Hội đồng Quản trị</t>
        </is>
      </c>
      <c r="B541" s="6" t="inlineStr">
        <is>
          <t>Shareholder - Member of Board of Directors</t>
        </is>
      </c>
      <c r="C541" s="6" t="inlineStr">
        <is>
          <t>股东 - 董事会成员</t>
        </is>
      </c>
      <c r="D541" s="6" t="inlineStr">
        <is>
          <t>股東 - 董事會成員</t>
        </is>
      </c>
    </row>
    <row r="542" customFormat="1" s="8">
      <c r="A542" s="6" t="inlineStr">
        <is>
          <t>Cổ đông của Công ty con</t>
        </is>
      </c>
      <c r="B542" s="6" t="inlineStr">
        <is>
          <t>Subsidiary's shareholder</t>
        </is>
      </c>
      <c r="C542" s="6" t="inlineStr">
        <is>
          <t>子公司股东</t>
        </is>
      </c>
      <c r="D542" s="6" t="inlineStr">
        <is>
          <t>子公司股東</t>
        </is>
      </c>
    </row>
    <row r="543" ht="41.4" customFormat="1" customHeight="1" s="8">
      <c r="A543" s="6" t="inlineStr">
        <is>
          <t>Có khả năng thu được lợi ích kinh tế từ giao dịch cung cấp dịch vụ;</t>
        </is>
      </c>
      <c r="B543" s="6" t="inlineStr">
        <is>
          <t>The economic benefits associated with the transaction will flow to the Company;</t>
        </is>
      </c>
      <c r="C543" s="6" t="inlineStr">
        <is>
          <t>有可能从提供劳务交易中获得经济利益；</t>
        </is>
      </c>
      <c r="D543" s="6" t="inlineStr">
        <is>
          <t>有可能從提供勞務交易中獲得經濟利益；</t>
        </is>
      </c>
    </row>
    <row r="544" customFormat="1" s="8">
      <c r="A544" s="6" t="inlineStr">
        <is>
          <t>Cổ phần</t>
        </is>
      </c>
      <c r="B544" s="6" t="inlineStr">
        <is>
          <t>Shares</t>
        </is>
      </c>
      <c r="C544" s="6" t="inlineStr">
        <is>
          <t>股份</t>
        </is>
      </c>
      <c r="D544" s="6" t="inlineStr">
        <is>
          <t>股份</t>
        </is>
      </c>
    </row>
    <row r="545" customFormat="1" s="8">
      <c r="A545" s="6" t="inlineStr">
        <is>
          <t>cổ phần</t>
        </is>
      </c>
      <c r="B545" s="6" t="inlineStr">
        <is>
          <t>shares</t>
        </is>
      </c>
      <c r="C545" s="6" t="inlineStr">
        <is>
          <t>股份</t>
        </is>
      </c>
      <c r="D545" s="6" t="inlineStr">
        <is>
          <t>股份</t>
        </is>
      </c>
    </row>
    <row r="546" customFormat="1" s="8">
      <c r="A546" s="6" t="inlineStr">
        <is>
          <t>Cổ phần phổ thông</t>
        </is>
      </c>
      <c r="B546" s="6" t="inlineStr">
        <is>
          <t>Ordinary shares</t>
        </is>
      </c>
      <c r="C546" s="6" t="inlineStr">
        <is>
          <t>普通股</t>
        </is>
      </c>
      <c r="D546" s="6" t="inlineStr">
        <is>
          <t>普通股</t>
        </is>
      </c>
    </row>
    <row r="547" ht="27.6" customFormat="1" customHeight="1" s="8">
      <c r="A547" s="6" t="inlineStr">
        <is>
          <t>Cổ phần phổ thông có quyền biểu quyết</t>
        </is>
      </c>
      <c r="B547" s="6" t="inlineStr">
        <is>
          <t>Ordinary shares with voting rights</t>
        </is>
      </c>
      <c r="C547" s="6" t="inlineStr">
        <is>
          <t>有表决权的普通股</t>
        </is>
      </c>
      <c r="D547" s="6" t="inlineStr">
        <is>
          <t>有表決權之普通股</t>
        </is>
      </c>
    </row>
    <row r="548" customFormat="1" s="8">
      <c r="A548" s="6" t="inlineStr">
        <is>
          <t>Cổ phần quỹ</t>
        </is>
      </c>
      <c r="B548" s="6" t="inlineStr">
        <is>
          <t>Treasury shares</t>
        </is>
      </c>
      <c r="C548" s="6" t="inlineStr">
        <is>
          <t>库藏股</t>
        </is>
      </c>
      <c r="D548" s="6" t="inlineStr">
        <is>
          <t>庫藏股</t>
        </is>
      </c>
    </row>
    <row r="549" customFormat="1" s="8">
      <c r="A549" s="6" t="inlineStr">
        <is>
          <t>Cổ phần ưu đãi</t>
        </is>
      </c>
      <c r="B549" s="6" t="inlineStr">
        <is>
          <t>Preference shares</t>
        </is>
      </c>
      <c r="C549" s="6" t="inlineStr">
        <is>
          <t>优先股</t>
        </is>
      </c>
      <c r="D549" s="6" t="inlineStr">
        <is>
          <t>優先股</t>
        </is>
      </c>
    </row>
    <row r="550" customFormat="1" s="8">
      <c r="A550" s="6" t="inlineStr">
        <is>
          <t>Cổ tức và lợi nhuận được chia</t>
        </is>
      </c>
      <c r="B550" s="6" t="inlineStr">
        <is>
          <t>Dividends</t>
        </is>
      </c>
      <c r="C550" s="6" t="inlineStr">
        <is>
          <t>获分股息及股利的收入</t>
        </is>
      </c>
      <c r="D550" s="6" t="inlineStr">
        <is>
          <t>獲分股息及股利之收入</t>
        </is>
      </c>
    </row>
    <row r="551" ht="138" customFormat="1" customHeight="1" s="8">
      <c r="A551" s="6" t="inlineStr">
        <is>
          <t>Cổ tức và lợi nhuận được chia được ghi nhận khi Công ty được quyền nhận cổ tức hoặc lợi nhuận từ việc góp vốn. Cổ tức được nhận bằng cổ phần chỉ được theo dõi số lượng cổ phần tăng thêm, không ghi nhận giá trị cổ phần nhận được/được ghi nhận theo mệnh giá.</t>
        </is>
      </c>
      <c r="B551" s="6" t="inlineStr">
        <is>
          <t>Dividends are recognized when the Company obtains rights of receiving dividends from the capital contribution. Dividends received in shares shall be tracked by increases in the number of shares, without recognition of the value of shared received/face value recognized.</t>
        </is>
      </c>
      <c r="C551" s="6" t="inlineStr">
        <is>
          <t>获分股息及股利的收入应在公司从投资入股活动中有权获分股息或股利时认列。股票股息仅以新增股数认列，而非以新增股份帐面价值认列。</t>
        </is>
      </c>
      <c r="D551" s="6" t="inlineStr">
        <is>
          <t>獲分股息及股利之收入應在公司從投資入股活動中有權獲分股息或股利時認列。股票股息僅以新增股數認列，而非以新增股份帳面價值認列。</t>
        </is>
      </c>
    </row>
    <row r="552" ht="27.6" customFormat="1" customHeight="1" s="8">
      <c r="A552" s="6" t="inlineStr">
        <is>
          <t>Cổ tức, lợi nhuận đã trả cho chủ sở hữu</t>
        </is>
      </c>
      <c r="B552" s="7" t="inlineStr">
        <is>
          <t>Payments of dividends</t>
        </is>
      </c>
      <c r="C552" s="6" t="inlineStr">
        <is>
          <t>已归还所有者（股东）的股息、股利</t>
        </is>
      </c>
      <c r="D552" s="6" t="inlineStr">
        <is>
          <t>已歸還所有者（股東）之股息、股利</t>
        </is>
      </c>
    </row>
    <row r="553" customFormat="1" s="8">
      <c r="A553" s="6" t="inlineStr">
        <is>
          <t>Cổ tức, lợi nhuận được chia</t>
        </is>
      </c>
      <c r="B553" s="7" t="inlineStr">
        <is>
          <t>Dividends</t>
        </is>
      </c>
      <c r="C553" s="6" t="inlineStr">
        <is>
          <t>分派股息、股利</t>
        </is>
      </c>
      <c r="D553" s="6" t="inlineStr">
        <is>
          <t>分派股息、股利</t>
        </is>
      </c>
    </row>
    <row r="554" customFormat="1" s="8">
      <c r="A554" s="6" t="inlineStr">
        <is>
          <t>Công cụ tài chính</t>
        </is>
      </c>
      <c r="B554" s="6" t="inlineStr">
        <is>
          <t>Financial instruments</t>
        </is>
      </c>
      <c r="C554" s="6" t="inlineStr">
        <is>
          <t>金融工具</t>
        </is>
      </c>
      <c r="D554" s="6" t="inlineStr">
        <is>
          <t>金融工具</t>
        </is>
      </c>
    </row>
    <row r="555" customFormat="1" s="8">
      <c r="A555" s="6" t="inlineStr">
        <is>
          <t>Công cụ, dụng cụ</t>
        </is>
      </c>
      <c r="B555" s="6" t="inlineStr">
        <is>
          <t>Tools and supplies</t>
        </is>
      </c>
      <c r="C555" s="6" t="inlineStr">
        <is>
          <t>工具及用具</t>
        </is>
      </c>
      <c r="D555" s="6" t="inlineStr">
        <is>
          <t>工具及用具</t>
        </is>
      </c>
    </row>
    <row r="556" ht="27.6" customFormat="1" customHeight="1" s="8">
      <c r="A556" s="6" t="inlineStr">
        <is>
          <t>Công cụ, dụng cụ xuất dùng</t>
        </is>
      </c>
      <c r="B556" s="6" t="inlineStr">
        <is>
          <t>Tools and supplies for operation activities</t>
        </is>
      </c>
      <c r="C556" s="6" t="inlineStr">
        <is>
          <t>领用工具及用具</t>
        </is>
      </c>
      <c r="D556" s="6" t="inlineStr">
        <is>
          <t>領用工具及用具</t>
        </is>
      </c>
    </row>
    <row r="557" customFormat="1" s="8">
      <c r="A557" s="6" t="inlineStr">
        <is>
          <t>Công tác phí</t>
        </is>
      </c>
      <c r="B557" s="6" t="inlineStr">
        <is>
          <t>Business travel allowances</t>
        </is>
      </c>
      <c r="C557" s="6" t="inlineStr">
        <is>
          <t>差旅费</t>
        </is>
      </c>
      <c r="D557" s="6" t="inlineStr">
        <is>
          <t>差旅費</t>
        </is>
      </c>
    </row>
    <row r="558" ht="27.6" customFormat="1" customHeight="1" s="8">
      <c r="A558" s="6" t="inlineStr">
        <is>
          <t>Công trình thi công móng máy</t>
        </is>
      </c>
      <c r="B558" s="6" t="inlineStr">
        <is>
          <t>Construction works of machine foundation</t>
        </is>
      </c>
      <c r="C558" s="6" t="inlineStr">
        <is>
          <t>机械基础施工工程</t>
        </is>
      </c>
      <c r="D558" s="6" t="inlineStr">
        <is>
          <t>機械基礎施工工程</t>
        </is>
      </c>
    </row>
    <row r="559" ht="27.6" customFormat="1" customHeight="1" s="8">
      <c r="A559" s="6" t="inlineStr">
        <is>
          <t>Công trình thi công móng máy và văn phòng</t>
        </is>
      </c>
      <c r="B559" s="6" t="inlineStr">
        <is>
          <t>Construction of machine foundation and office</t>
        </is>
      </c>
      <c r="C559" s="6" t="inlineStr">
        <is>
          <t>机器基础和办公室施工工程</t>
        </is>
      </c>
      <c r="D559" s="6" t="inlineStr">
        <is>
          <t>機器基礎和辦公室施工工程</t>
        </is>
      </c>
    </row>
    <row r="560" customFormat="1" s="8">
      <c r="A560" s="6" t="inlineStr">
        <is>
          <t>Công ty</t>
        </is>
      </c>
      <c r="B560" s="6" t="inlineStr">
        <is>
          <t>The Company</t>
        </is>
      </c>
      <c r="C560" s="6" t="inlineStr">
        <is>
          <t>公司</t>
        </is>
      </c>
      <c r="D560" s="6" t="inlineStr">
        <is>
          <t>公司</t>
        </is>
      </c>
    </row>
    <row r="561" ht="124.2" customFormat="1" customHeight="1" s="8">
      <c r="A561" s="6" t="inlineStr">
        <is>
          <t>Công ty áp dụng Chế độ kế toán doanh nghiệp ban hành theo Thông tư số 200/2014/TT-BTC ngày 22 tháng 12 năm 2014 và Thông tư số 53/2016/TT-BTC ngày 21 tháng 03 năm 2016 của Bộ Tài chính.</t>
        </is>
      </c>
      <c r="B561" s="6" t="inlineStr">
        <is>
          <t>The Company has applied Vietnamese Accounting System in accordance with Circular No. 200/2014/TT-BTC dated December 22, 2014 and Circular No. 53/2016/TT-BTC dated March 21, 2016 of the Ministry of Finance.</t>
        </is>
      </c>
      <c r="C561" s="6" t="inlineStr">
        <is>
          <t>公司采用由越南财政部批准的《第200/2014/TT-BTC号公告》（在2014年12月22日颁布）及《第53/2016/TT-BTC号公告》（在2016年03月21日颁布）中的企业会计制度及其相关规定。</t>
        </is>
      </c>
      <c r="D561" s="6" t="inlineStr">
        <is>
          <t>公司採用由越南財政部批准的《第200/2014/TT-BTC號公告》（於2014年12月22日頒布）及《第53/2016/TT-BTC號公告》（於2016年03月21日頒布）中之企業會計制度及其相關規定。</t>
        </is>
      </c>
    </row>
    <row r="562" ht="151.8" customFormat="1" customHeight="1" s="8">
      <c r="A562" s="6" t="inlineStr">
        <is>
          <t>Công ty áp dụng Chế độ kế toán doanh nghiệp ban hành theo Thông tư số 200/2014/TT-BTC ngày 22 tháng 12 năm 2014, Thông tư số 75/2015/TT-BTC ngày 18 tháng 05 năm 2015 và Thông tư số 53/2016/TT-BTC ngày 21 tháng 03 năm 2016 của Bộ Tài chính.</t>
        </is>
      </c>
      <c r="B562" s="6" t="inlineStr">
        <is>
          <t>The Company has applied Vietnamese Accounting System in accordance with Circular No. 200/2014/TT-BTC dated December 22, 2014, Circular No. 75/2015/TT-BTC dated May 18, 2015 and Circular No. 53/2016/TT-BTC dated March 21, 2016 of the Ministry of Finance.</t>
        </is>
      </c>
      <c r="C562" s="6" t="inlineStr">
        <is>
          <t>公司采用由越南财政部批准的《第200/2014/TT-BTC号公告》（在2014年12月22日颁布）、《第75/2015/TT-BTC号公告》（在2015年05月18日颁布）及《第53/2016/TT-BTC号公告》（在2016年03月21日颁布）中的企业会计制度及其相关规定。</t>
        </is>
      </c>
      <c r="D562" s="6" t="inlineStr">
        <is>
          <t>公司採用由越南財政部批准的《第200/2014/TT-BTC號公告》（於2014年12月22日頒布）、《第75/2015/TT-BTC號公告》（於2015年05月18日頒布）及《第53/2016/TT-BTC號公告》（於2016年03月21日頒布）中之企業會計制度及其相關規定。</t>
        </is>
      </c>
    </row>
    <row r="563" ht="124.2" customFormat="1" customHeight="1" s="8">
      <c r="A563" s="6" t="inlineStr">
        <is>
          <t>Công ty chưa đánh giá giá trị hợp lý của tài sản tài chính và nợ phải trả tài chính tại ngày kết thúc năm tài chính do các quy định hiện hành chưa có hướng dẫn cụ thể về việc xác định giá trị hợp lý của các tài sản tài chính và nợ phải trả tài chính.</t>
        </is>
      </c>
      <c r="B563" s="6" t="inlineStr">
        <is>
          <t>The Company has not applied fair value measurement on its financial assets and liabilities as at the balance sheet date since prevailing regulations have not provided guidance on determination of fair value of financial assets and liabilities.</t>
        </is>
      </c>
      <c r="C563" s="6" t="inlineStr">
        <is>
          <t>截至资产负债表日，公司未对其金融资产和负债应用公允价值计量，因为现行法规尚未提供关于确定金融资产和负债公允价值的指导。</t>
        </is>
      </c>
      <c r="D563" s="6" t="inlineStr">
        <is>
          <t>截至資產負債表日，公司未對其金融資產和負債應用公允價值計量，因為現行法規尚未提供關於確定金融資產和負債公允價值的指導。</t>
        </is>
      </c>
    </row>
    <row r="564" customFormat="1" s="8">
      <c r="A564" s="6" t="inlineStr">
        <is>
          <t>Công ty chung tập đoàn</t>
        </is>
      </c>
      <c r="B564" s="6" t="inlineStr">
        <is>
          <t>Group Company</t>
        </is>
      </c>
      <c r="C564" s="6" t="inlineStr">
        <is>
          <t>同集团公司</t>
        </is>
      </c>
      <c r="D564" s="6" t="inlineStr">
        <is>
          <t>同集團公司</t>
        </is>
      </c>
    </row>
    <row r="565" ht="27.6" customFormat="1" customHeight="1" s="8">
      <c r="A565" s="6" t="inlineStr">
        <is>
          <t>Công ty có các dự án đầu tư sau:</t>
        </is>
      </c>
      <c r="B565" s="6" t="inlineStr">
        <is>
          <t>The Company has the following investment projects:</t>
        </is>
      </c>
      <c r="C565" s="6" t="inlineStr">
        <is>
          <t>公司投资项目如下：</t>
        </is>
      </c>
      <c r="D565" s="6" t="inlineStr">
        <is>
          <t>公司投資項目如下：</t>
        </is>
      </c>
    </row>
    <row r="566" ht="82.8" customFormat="1" customHeight="1" s="8">
      <c r="A566" s="6" t="inlineStr">
        <is>
          <t>Công ty có chính sách tín dụng phù hợp và thường xuyên theo dõi tình hình để đánh giá xem Công ty có chịu rủi ro tín dụng hay không.</t>
        </is>
      </c>
      <c r="B566" s="6" t="inlineStr">
        <is>
          <t>In order to assess whether or not the Company is under credit risks, the Company has appropriate credit policies where exposures are controlled on an ongoing basis.</t>
        </is>
      </c>
      <c r="C566" s="6" t="inlineStr">
        <is>
          <t>公司对于信用风险建立适当风险管理政策并经常进行风险跟踪。</t>
        </is>
      </c>
      <c r="D566" s="6" t="inlineStr">
        <is>
          <t>公司對於信用風險建立適當風險管理政策並經常進行風險跟蹤。</t>
        </is>
      </c>
    </row>
    <row r="567" ht="55.2" customFormat="1" customHeight="1" s="8">
      <c r="A567" s="6" t="inlineStr">
        <is>
          <t>Công ty có nghĩa vụ nộp thuế thu nhập doanh nghiệp theo quy định hiện hành.</t>
        </is>
      </c>
      <c r="B567" s="6" t="inlineStr">
        <is>
          <t>The Company is obliged to pay the corporate income tax in compliance with the prevailing regulations.</t>
        </is>
      </c>
      <c r="C567" s="6" t="inlineStr">
        <is>
          <t>公司有义务根据现行法律规定缴纳企业所得税。</t>
        </is>
      </c>
      <c r="D567" s="6" t="inlineStr">
        <is>
          <t>公司有義務根據現行法律規定繳納企業所得稅。</t>
        </is>
      </c>
    </row>
    <row r="568" ht="41.4" customFormat="1" customHeight="1" s="8">
      <c r="A568" s="6" t="inlineStr">
        <is>
          <t>Công ty có nghĩa vụ nộp thuế thu nhập doanh nghiệp theo thuế suất phổ thông</t>
        </is>
      </c>
      <c r="B568" s="6" t="inlineStr">
        <is>
          <t>The Company is obliged to pay the corporate income tax at the standard rate</t>
        </is>
      </c>
      <c r="C568" s="6" t="inlineStr">
        <is>
          <t>公司有义务按照普通税率（标准税率）缴纳企业所得税。</t>
        </is>
      </c>
      <c r="D568" s="6" t="inlineStr">
        <is>
          <t>公司有義務按照普通稅率（標準稅率）繳納企業所得稅。</t>
        </is>
      </c>
    </row>
    <row r="569" ht="41.4" customFormat="1" customHeight="1" s="8">
      <c r="A569" s="7" t="inlineStr">
        <is>
          <t>Công ty có nghĩa vụ nộp thuế thu nhập doanh nghiệp theo thuế suất phổ thông.</t>
        </is>
      </c>
      <c r="B569" s="6" t="inlineStr">
        <is>
          <t>The Company is obliged to pay the corporate income tax at the standard rate.</t>
        </is>
      </c>
      <c r="C569" s="6" t="inlineStr">
        <is>
          <t>公司有义务按照普通税率（标准税率）缴纳企业所得税。</t>
        </is>
      </c>
      <c r="D569" s="6" t="inlineStr">
        <is>
          <t>公司有義務按照普通稅率（標準稅率）繳納企業所得稅。</t>
        </is>
      </c>
    </row>
    <row r="570" ht="41.4" customFormat="1" customHeight="1" s="8">
      <c r="A570" s="6" t="inlineStr">
        <is>
          <t>Công ty có nghĩa vụ nộp thuế thu nhập doanh nghiệp với thuế suất 20%.</t>
        </is>
      </c>
      <c r="B570" s="6" t="inlineStr">
        <is>
          <t>The Company is obliged to pay the corporate income tax at the applicable rate of 20%.</t>
        </is>
      </c>
      <c r="C570" s="6" t="inlineStr">
        <is>
          <t>公司有义务按照20%税率缴纳企业所得税。</t>
        </is>
      </c>
      <c r="D570" s="6" t="inlineStr">
        <is>
          <t>公司有義務按照20%稅率繳納企業所得稅。</t>
        </is>
      </c>
    </row>
    <row r="571" customFormat="1" s="8">
      <c r="A571" s="6" t="inlineStr">
        <is>
          <t>Công ty có quan hệ liên kết</t>
        </is>
      </c>
      <c r="B571" s="6" t="inlineStr">
        <is>
          <t>Associate</t>
        </is>
      </c>
      <c r="C571" s="6" t="inlineStr">
        <is>
          <t>关联公司</t>
        </is>
      </c>
      <c r="D571" s="6" t="inlineStr">
        <is>
          <t>關聯公司</t>
        </is>
      </c>
    </row>
    <row r="572" customFormat="1" s="8">
      <c r="A572" s="6" t="inlineStr">
        <is>
          <t>Công ty con</t>
        </is>
      </c>
      <c r="B572" s="6" t="inlineStr">
        <is>
          <t>Subsidiary</t>
        </is>
      </c>
      <c r="C572" s="6" t="inlineStr">
        <is>
          <t>子公司</t>
        </is>
      </c>
      <c r="D572" s="6" t="inlineStr">
        <is>
          <t>子公司</t>
        </is>
      </c>
    </row>
    <row r="573" customFormat="1" s="8">
      <c r="A573" s="6" t="inlineStr">
        <is>
          <t>Công ty cùng tập đoàn</t>
        </is>
      </c>
      <c r="B573" s="6" t="inlineStr">
        <is>
          <t>Group Company</t>
        </is>
      </c>
      <c r="C573" s="6" t="inlineStr">
        <is>
          <t>同集团公司</t>
        </is>
      </c>
      <c r="D573" s="6" t="inlineStr">
        <is>
          <t>同集團公司</t>
        </is>
      </c>
    </row>
    <row r="574" ht="55.2" customFormat="1" customHeight="1" s="8">
      <c r="A574" s="6" t="inlineStr">
        <is>
          <t>Công ty đã chuyển giao phần lớn rủi ro và lợi ích gắn liền với quyền sở hữu sản phẩm cho người mua;</t>
        </is>
      </c>
      <c r="B574" s="6" t="inlineStr">
        <is>
          <t>The Company has transferred to the buyer the significant risks and rewards of ownership of the goods;</t>
        </is>
      </c>
      <c r="C574" s="6" t="inlineStr">
        <is>
          <t>公司已将与商品所有权有关的大部分风险与利益转移给买方；</t>
        </is>
      </c>
      <c r="D574" s="6" t="inlineStr">
        <is>
          <t>公司已將與商品所有權有關的大部分風險與利益轉移給買方；</t>
        </is>
      </c>
    </row>
    <row r="575" ht="41.4" customFormat="1" customHeight="1" s="8">
      <c r="A575" s="6" t="inlineStr">
        <is>
          <t>Công ty đã ký kết các hợp đồng thuê dưới hình thức thuê hoạt động như sau:</t>
        </is>
      </c>
      <c r="B575" s="6" t="inlineStr">
        <is>
          <t>The Company entered into agreements under operating leases as follows:</t>
        </is>
      </c>
      <c r="C575" s="6" t="inlineStr">
        <is>
          <t>公司以营业租赁方式签署下列租赁合同：</t>
        </is>
      </c>
      <c r="D575" s="6" t="inlineStr">
        <is>
          <t>公司以營業租賃方式簽署下列租賃合約：</t>
        </is>
      </c>
    </row>
    <row r="576" ht="96.59999999999999" customFormat="1" customHeight="1" s="8">
      <c r="A576" s="6" t="inlineStr">
        <is>
          <t>Công ty đã thu được hoặc sẽ thu được lợi ích và xác định được chi phí liên quan đến giao dịch bán hàng.</t>
        </is>
      </c>
      <c r="B576" s="6" t="inlineStr">
        <is>
          <t>The economic benefits associated with the transaction will flow to the Company and the costs incurred or to be incurred in respect of the transaction can be measured reliably.</t>
        </is>
      </c>
      <c r="C576" s="6" t="inlineStr">
        <is>
          <t>公司已获得或即将获得经济利益并能够确定销售交易的相关成本。</t>
        </is>
      </c>
      <c r="D576" s="6" t="inlineStr">
        <is>
          <t>公司已獲得或即將獲得經濟利益並能夠確定銷售交易之相關成本。</t>
        </is>
      </c>
    </row>
    <row r="577" ht="41.4" customFormat="1" customHeight="1" s="8">
      <c r="A577" s="6" t="inlineStr">
        <is>
          <t>Công ty không có nhân viên tại ngày cuối năm và đầu năm.</t>
        </is>
      </c>
      <c r="B577" s="6" t="inlineStr">
        <is>
          <t>The Company has no employees at the end and the beginning of the year.</t>
        </is>
      </c>
      <c r="C577" s="6" t="inlineStr">
        <is>
          <t>于年初日和年底日，公司尚未聘雇员工。</t>
        </is>
      </c>
      <c r="D577" s="6" t="inlineStr">
        <is>
          <t>於年初日和年底日，公司尚未聘僱員工。</t>
        </is>
      </c>
    </row>
    <row r="578" ht="82.8" customFormat="1" customHeight="1" s="8">
      <c r="A578" s="6" t="inlineStr">
        <is>
          <t>Công ty không còn nắm giữ quyền quản lý hàng hóa như người sở hữu hàng hóa hoặc quyền kiểm soát hàng hóa;</t>
        </is>
      </c>
      <c r="B578" s="6" t="inlineStr">
        <is>
          <t>The Company retains neither continuing managerial involvement to the degree usually associated with ownership nor effective control over the goods sold;</t>
        </is>
      </c>
      <c r="C578" s="6" t="inlineStr">
        <is>
          <t>公司不保留通常与商品所有权有关的继续管理权，且不对已出售的商品实施控制权；</t>
        </is>
      </c>
      <c r="D578" s="6" t="inlineStr">
        <is>
          <t>公司不保留通常與商品所有權有關的繼續管理權，且不對已出售之商品實施控制權；</t>
        </is>
      </c>
    </row>
    <row r="579" ht="110.4" customFormat="1" customHeight="1" s="8">
      <c r="A579" s="6" t="inlineStr">
        <is>
          <t xml:space="preserve">Công ty không ghi nhận tài sản thuế thu nhập doanh nghiệp hoãn lại vì không có chênh lệch đáng kể giữa giá trị ghi sổ của các khoản mục tài sản hoặc nợ phải trả trên Bảng cân đối kế toán và cơ sở tính thuế của các khoản mục này. </t>
        </is>
      </c>
      <c r="B579" s="6" t="inlineStr">
        <is>
          <t xml:space="preserve">There are no deferred income tax assets recognized to the extent as there is no considerable differences between the net book value of items of assets or liabilities stated in the balance sheet and their tax bases. </t>
        </is>
      </c>
      <c r="C579" s="6" t="inlineStr">
        <is>
          <t>资产或负债于资产负债表的帐面金额与其课税基础并无重大差异，所以公司不认列递延所得税资产。</t>
        </is>
      </c>
      <c r="D579" s="6" t="inlineStr">
        <is>
          <t>資產或負債於資產負債表之帳面金額與其課稅基礎並無重大差異，所以公司不認列遞延所得稅資產。</t>
        </is>
      </c>
    </row>
    <row r="580" ht="124.2" customFormat="1" customHeight="1" s="8">
      <c r="A580" s="6" t="inlineStr">
        <is>
          <t xml:space="preserve">Công ty không ghi nhận tài sản thuế thu nhập hoãn lại hoặc thuế thu nhập hoãn lại phải trả vì không có chênh lệch đáng kể giữa giá trị ghi sổ của các khoản mục tài sản hoặc nợ phải trả trên Bảng cân đối kế toán và cơ sở tính thuế của các khoản mục này. </t>
        </is>
      </c>
      <c r="B580" s="6" t="inlineStr">
        <is>
          <t xml:space="preserve">There are no deferred income tax assets or deferred income tax liabilities recognized to the extent as there is no considerable differences between the net book value of items of assets or liabilities stated in the balance sheet and their tax bases. </t>
        </is>
      </c>
      <c r="C580" s="6" t="inlineStr">
        <is>
          <t>资产或负债于资产负债表的帐面金额与其课税基础并无重大差异，所以公司不认列递延所得税资产或递延所得税负债。</t>
        </is>
      </c>
      <c r="D580" s="6" t="inlineStr">
        <is>
          <t>資產或負債於資產負債表之帳面金額與其課稅基礎並無重大差異，所以公司不認列遞延所得稅資產或遞延所得稅負債。</t>
        </is>
      </c>
    </row>
    <row r="581" ht="110.4" customFormat="1" customHeight="1" s="8">
      <c r="A581" s="6" t="inlineStr">
        <is>
          <t xml:space="preserve">Công ty không ghi nhận tài sản thuế thu nhập hoãn lại vì không có chênh lệch đáng kể giữa giá trị ghi sổ của các khoản mục tài sản hoặc nợ phải trả trên Bảng cân đối kế toán và cơ sở tính thuế của các khoản mục này. </t>
        </is>
      </c>
      <c r="B581" s="6" t="inlineStr">
        <is>
          <t xml:space="preserve">There are no deferred income tax assets recognized to the extent as there is no considerable differences between the net book value of items of assets or liabilities stated in the balance sheet and their tax bases. </t>
        </is>
      </c>
      <c r="C581" s="6" t="inlineStr">
        <is>
          <t>资产或负债于资产负债表的账面金额与其课税基础并无重大差异，所以公司不认列递延所得税资产。</t>
        </is>
      </c>
      <c r="D581" s="6" t="inlineStr">
        <is>
          <t>資產或負債於資產負債表的賬面金額與其課稅基礎並無重大差異，所以公司不認列遞延所得稅資產。</t>
        </is>
      </c>
    </row>
    <row r="582" ht="124.2" customFormat="1" customHeight="1" s="8">
      <c r="A582" s="6" t="inlineStr">
        <is>
          <t>Công ty không lập dự phòng chi phí thuế thu nhập doanh nghiệp hiện hành trong năm 2024 vì Công ty không có thu nhập tính thuế sau khi trừ khoản lỗ của các năm trước vào lợi nhuận trước thuế trong năm hiện hành.</t>
        </is>
      </c>
      <c r="B582" s="6" t="inlineStr">
        <is>
          <t>No provision for current corporate income tax expense has been provided in [nămbáocáo] as the Company has no assessable income after deducting tax loss brought forward of prior years against profit before tax in current year.</t>
        </is>
      </c>
      <c r="C582" s="6" t="inlineStr">
        <is>
          <t>由于公司于[nămbáocáo]年度内，将当期税前净利扣抵以前年度累积亏损后，无应税所得产生，所以本期不预提企业所得税费用。</t>
        </is>
      </c>
      <c r="D582" s="6" t="inlineStr">
        <is>
          <t>由於公司於[nămbáocáo]年度內，將當期稅前淨利扣抵以前年度累積虧損後，無應稅所得產生，所以本期不預提企業所得稅費用。</t>
        </is>
      </c>
    </row>
    <row r="583" ht="110.4" customFormat="1" customHeight="1" s="8">
      <c r="A583" s="6" t="inlineStr">
        <is>
          <t>Công ty không lập dự phòng chi phí thuế thu nhập doanh nghiệp hiện hành vì Công ty không có thu nhập chịu thuế sau khi trừ khoản lỗ của các năm trước vào lợi nhuận trước thuế trong năm hiện hành.</t>
        </is>
      </c>
      <c r="B583" s="6" t="inlineStr">
        <is>
          <t>No provision for current corporate income tax expense has been provided as the Company has no taxable income after deducting tax loss brought forward of prior years against profit before tax in current year.</t>
        </is>
      </c>
      <c r="C583" s="6" t="inlineStr">
        <is>
          <t>由于公司从本年度税前盈利中减去以前年度的累计亏损后无应课税所得，所以公司不预提当期企业所得税费用。</t>
        </is>
      </c>
      <c r="D583" s="6" t="inlineStr">
        <is>
          <t>由於公司從本年度稅前盈利中減去以前年度之累計虧損後無應課稅所得，所以公司不預提當期企業所得稅費用。</t>
        </is>
      </c>
    </row>
    <row r="584" customFormat="1" s="8">
      <c r="A584" s="6" t="inlineStr">
        <is>
          <t>Công ty liên kết</t>
        </is>
      </c>
      <c r="B584" s="6" t="inlineStr">
        <is>
          <t>Associated company</t>
        </is>
      </c>
      <c r="C584" s="6" t="inlineStr">
        <is>
          <t>关联公司</t>
        </is>
      </c>
      <c r="D584" s="6" t="inlineStr">
        <is>
          <t>關聯公司</t>
        </is>
      </c>
    </row>
    <row r="585" customFormat="1" s="8">
      <c r="A585" s="6" t="inlineStr">
        <is>
          <t>Công ty mẹ</t>
        </is>
      </c>
      <c r="B585" s="6" t="inlineStr">
        <is>
          <t>Parent Company</t>
        </is>
      </c>
      <c r="C585" s="6" t="inlineStr">
        <is>
          <t>母公司</t>
        </is>
      </c>
      <c r="D585" s="6" t="inlineStr">
        <is>
          <t>母公司</t>
        </is>
      </c>
    </row>
    <row r="586" customFormat="1" s="8">
      <c r="A586" s="6" t="inlineStr">
        <is>
          <t>Công ty mẹ tối cao</t>
        </is>
      </c>
      <c r="B586" s="6" t="inlineStr">
        <is>
          <t>Ultimate Parent Company</t>
        </is>
      </c>
      <c r="C586" s="6" t="inlineStr">
        <is>
          <t>最终母公司</t>
        </is>
      </c>
      <c r="D586" s="6" t="inlineStr">
        <is>
          <t>最終母公司</t>
        </is>
      </c>
    </row>
    <row r="587" ht="27.6" customFormat="1" customHeight="1" s="8">
      <c r="A587" s="6" t="inlineStr">
        <is>
          <t>Công ty TNHH Kế toán U&amp;I</t>
        </is>
      </c>
      <c r="B587" s="6" t="inlineStr">
        <is>
          <t>U&amp;I Accounting Company Limited</t>
        </is>
      </c>
      <c r="C587" s="6" t="inlineStr">
        <is>
          <t>U&amp;I会计有限公司</t>
        </is>
      </c>
      <c r="D587" s="6" t="inlineStr">
        <is>
          <t>U&amp;I會計有限公司</t>
        </is>
      </c>
    </row>
    <row r="588" ht="27.6" customFormat="1" customHeight="1" s="8">
      <c r="A588" s="6" t="inlineStr">
        <is>
          <t>Công ty TNHH Kiểm toán U&amp;I</t>
        </is>
      </c>
      <c r="B588" s="6" t="inlineStr">
        <is>
          <t>U&amp;I Auditing Company Limited</t>
        </is>
      </c>
      <c r="C588" s="6" t="inlineStr">
        <is>
          <t>U&amp;I审计有限公司</t>
        </is>
      </c>
      <c r="D588" s="6" t="inlineStr">
        <is>
          <t>U&amp;I審計有限公司</t>
        </is>
      </c>
    </row>
    <row r="589" ht="27.6" customFormat="1" customHeight="1" s="8">
      <c r="A589" s="6" t="inlineStr">
        <is>
          <t>Công ty TNHH Kiểm Toán U&amp;I</t>
        </is>
      </c>
      <c r="B589" s="6" t="inlineStr">
        <is>
          <t>U&amp;I Auditing Company Limited</t>
        </is>
      </c>
      <c r="C589" s="6" t="inlineStr">
        <is>
          <t>U&amp;I审计有限公司</t>
        </is>
      </c>
      <c r="D589" s="6" t="inlineStr">
        <is>
          <t>U&amp;I審計有限公司</t>
        </is>
      </c>
    </row>
    <row r="590" ht="317.4" customFormat="1" customHeight="1" s="8">
      <c r="A590" s="6" t="inlineStr">
        <is>
          <t xml:space="preserve">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t>
        </is>
      </c>
      <c r="B590" s="6" t="inlineStr">
        <is>
          <t xml:space="preserve">An audit involves performing procedures to obtain audit evidence about the amounts and disclosures in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Company’s preparation and fair presentation of the financial statements in order to design audit procedures that are appropriate in the circumstances, but not for the purpose of expressing an opinion on the effectiveness of the Company’s internal control. </t>
        </is>
      </c>
      <c r="C590" s="6" t="inlineStr">
        <is>
          <t>查核工作涉及实施查核程序，以获取财务报表所列金额及揭露事项的查核证据。查核程序的选择取决于会计师的判断，包括对由于舞弊或错误导致财务报表错报风险的评估。在进行风险评估时，会计师考虑与财务报表编制和真实、公允列报相关的内部控制，以设计恰当的查核程序，但目的并非对内部控制的有效性表示意见。</t>
        </is>
      </c>
      <c r="D590" s="6" t="inlineStr">
        <is>
          <t>查核工作涉及實施查核程序，以獲取財務報表所列金額及揭露事項之查核證據。查核程序之選擇取決於會計師之判斷，包括對由於舞弊或錯誤導致財務報表錯報風險之評估。在進行風險評估時，會計師考慮與財務報表編製和真實、公允列報相關之內部控制，以設計恰當之查核程序，但目的並非對內部控制之有效性表示意見。</t>
        </is>
      </c>
    </row>
    <row r="591" ht="124.2" customFormat="1" customHeight="1" s="8">
      <c r="A591" s="6" t="inlineStr">
        <is>
          <t>Công việc kiểm toán cũng bao gồm đánh giá tính thích hợp của các chính sách kế toán được áp dụng và tính hợp lý của các ước tính kế toán của Ban Giám đốc cũng như đánh giá việc trình bày tổng thể Báo cáo tài chính.</t>
        </is>
      </c>
      <c r="B591" s="6" t="inlineStr">
        <is>
          <t>An audit also includes evaluating the appropriateness of accounting policies used and the reasonableness of accounting estimates made by the Board of Management, as well as evaluating the overall presentation of the financial statements.</t>
        </is>
      </c>
      <c r="C591" s="6" t="inlineStr">
        <is>
          <t>查核工作亦包括评价管理阶层选用会计政策的恰当性和作出会计估计的合理性，暨评价财务报表的总体列报。</t>
        </is>
      </c>
      <c r="D591" s="6" t="inlineStr">
        <is>
          <t>查核工作亦包括評價管理階層選用會計政策之恰當性和作出會計估計之合理性，暨評價財務報表之總體列報。</t>
        </is>
      </c>
    </row>
    <row r="592" ht="124.2" customFormat="1" customHeight="1" s="8">
      <c r="A592" s="6" t="inlineStr">
        <is>
          <t>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t>
        </is>
      </c>
      <c r="B592" s="6" t="inlineStr">
        <is>
          <t>An audit also includes evaluating the appropriateness of accounting policies used and the reasonableness of accounting estimates made by the Board of General Directors, as well as evaluating the overall presentation of the financial statements.</t>
        </is>
      </c>
      <c r="C592" s="6" t="inlineStr">
        <is>
          <t>查核工作亦包括评价管理阶层选用会计政策的恰当性和作出会计估计的合理性，暨评价财务报表的总体列报。</t>
        </is>
      </c>
      <c r="D592" s="6" t="inlineStr">
        <is>
          <t>查核工作亦包括評價管理階層選用會計政策之恰當性和作出會計估計之合理性，暨評價財務報表之總體列報。</t>
        </is>
      </c>
    </row>
    <row r="593" ht="124.2" customFormat="1" customHeight="1" s="8">
      <c r="A593" s="6" t="inlineStr">
        <is>
          <t>Công việc kiểm toán cũng bao gồm đánh giá tính thích hợp của các chính sách kế toán được áp dụng và tính hợp lý của các ước tính kế toán của Chủ tịch cũng như đánh giá việc trình bày tổng thể Báo cáo tài chính.</t>
        </is>
      </c>
      <c r="B593" s="6" t="inlineStr">
        <is>
          <t>An audit also includes evaluating the appropriateness of accounting policies used and the reasonableness of accounting estimates made by Chairman, as well as evaluating the overall presentation of the financial statements.</t>
        </is>
      </c>
      <c r="C593" s="6" t="inlineStr">
        <is>
          <t>查核工作亦包括评价董事长选用会计政策的恰当性和作出会计估计的合理性，暨评价财务报表的总体列报。</t>
        </is>
      </c>
      <c r="D593" s="6" t="inlineStr">
        <is>
          <t>查核工作亦包括評價董事長選用會計政策之恰當性和作出會計估計之合理性，暨評價財務報表之總體列報。</t>
        </is>
      </c>
    </row>
    <row r="594" ht="110.4" customFormat="1" customHeight="1" s="8">
      <c r="A594" s="6" t="inlineStr">
        <is>
          <t>Công việc kiểm toán cũng bao gồm đánh giá tính thích hợp của các chính sách kế toán được áp dụng và tính hợp lý của các ước tính kế toán của Giám đốc cũng như đánh giá việc trình bày tổng thể Báo cáo tài chính.</t>
        </is>
      </c>
      <c r="B594" s="6" t="inlineStr">
        <is>
          <t>An audit also includes evaluating the appropriateness of accounting policies used and the reasonableness of accounting estimates made by Director, as well as evaluating the overall presentation of the financial statements.</t>
        </is>
      </c>
      <c r="C594" s="6" t="inlineStr">
        <is>
          <t>查核工作亦包括评价经理选用会计政策的恰当性和作出会计估计的合理性，暨评价财务报表的总体列报。</t>
        </is>
      </c>
      <c r="D594" s="6" t="inlineStr">
        <is>
          <t>查核工作亦包括評價經理選用會計政策之恰當性和作出會計估計之合理性，暨評價財務報表之總體列報。</t>
        </is>
      </c>
    </row>
    <row r="595" ht="124.2" customFormat="1" customHeight="1" s="8">
      <c r="A595" s="6" t="inlineStr">
        <is>
          <t>Công việc kiểm toán cũng bao gồm đánh giá tính thích hợp của các chính sách kế toán được áp dụng và tính hợp lý của các ước tính kế toán của Giám đốc điều hành cũng như đánh giá việc trình bày tổng thể Báo cáo tài chính.</t>
        </is>
      </c>
      <c r="B595" s="6" t="inlineStr">
        <is>
          <t>An audit also includes evaluating the appropriateness of accounting policies used and the reasonableness of accounting estimates made by Managing Director, as well as evaluating the overall presentation of the financial statements.</t>
        </is>
      </c>
      <c r="C595" s="6" t="inlineStr">
        <is>
          <t>查核工作亦包括评价执行总监选用会计政策的恰当性和作出会计估计的合理性，暨评价财务报表的总体列报。</t>
        </is>
      </c>
      <c r="D595" s="6" t="inlineStr">
        <is>
          <t>查核工作亦包括評價執行總監選用會計政策之恰當性和作出會計估計之合理性，暨評價財務報表之總體列報。</t>
        </is>
      </c>
    </row>
    <row r="596" ht="124.2" customFormat="1" customHeight="1" s="8">
      <c r="A596" s="6" t="inlineStr">
        <is>
          <t>Công việc kiểm toán cũng bao gồm đánh giá tính thích hợp của các chính sách kế toán được áp dụng và tính hợp lý của các ước tính kế toán của Hội đồng Quản trị cũng như đánh giá việc trình bày tổng thể Báo cáo tài chính.</t>
        </is>
      </c>
      <c r="B596" s="6" t="inlineStr">
        <is>
          <t>An audit also includes evaluating the appropriateness of accounting policies used and the reasonableness of accounting estimates made by the Board of Directors, as well as evaluating the overall presentation of the financial statements.</t>
        </is>
      </c>
      <c r="C596" s="6" t="inlineStr">
        <is>
          <t>查核工作亦包括评价董事会选用会计政策的恰当性和作出会计估计的合理性，暨评价财务报表的总体列报。</t>
        </is>
      </c>
      <c r="D596" s="6" t="inlineStr">
        <is>
          <t>查核工作亦包括評價董事會選用會計政策之恰當性和作出會計估計之合理性，暨評價財務報表之總體列報。</t>
        </is>
      </c>
    </row>
    <row r="597" ht="124.2" customFormat="1" customHeight="1" s="8">
      <c r="A597" s="6" t="inlineStr">
        <is>
          <t>Công việc kiểm toán cũng bao gồm đánh giá tính thích hợp của các chính sách kế toán được áp dụng và tính hợp lý của các ước tính kế toán của Hội đồng Thành viên cũng như đánh giá việc trình bày tổng thể Báo cáo tài chính.</t>
        </is>
      </c>
      <c r="B597" s="6" t="inlineStr">
        <is>
          <t>An audit also includes evaluating the appropriateness of accounting policies used and the reasonableness of accounting estimates made by the Board of Members, as well as evaluating the overall presentation of the financial statements.</t>
        </is>
      </c>
      <c r="C597" s="6" t="inlineStr">
        <is>
          <t>查核工作亦包括评价董事会选用会计政策的恰当性和作出会计估计的合理性，暨评价财务报表的总体列报。</t>
        </is>
      </c>
      <c r="D597" s="6" t="inlineStr">
        <is>
          <t>查核工作亦包括評價董事會選用會計政策之恰當性和作出會計估計之合理性，暨評價財務報表之總體列報。</t>
        </is>
      </c>
    </row>
    <row r="598" ht="124.2" customFormat="1" customHeight="1" s="8">
      <c r="A598" s="6" t="inlineStr">
        <is>
          <t>Công việc kiểm toán cũng bao gồm đánh giá tính thích hợp của các chính sách kế toán được áp dụng và tính hợp lý của các ước tính kế toán của Tổng Giám đốc cũng như đánh giá việc trình bày tổng thể Báo cáo tài chính.</t>
        </is>
      </c>
      <c r="B598" s="6" t="inlineStr">
        <is>
          <t>An audit also includes evaluating the appropriateness of accounting policies used and the reasonableness of accounting estimates made by General Director, as well as evaluating the overall presentation of the financial statements.</t>
        </is>
      </c>
      <c r="C598" s="6" t="inlineStr">
        <is>
          <t>查核工作亦包括评价总经理选用会计政策的恰当性和作出会计估计的合理性，暨评价财务报表的总体列报。</t>
        </is>
      </c>
      <c r="D598" s="6" t="inlineStr">
        <is>
          <t>查核工作亦包括評價總經理選用會計政策之恰當性和作出會計估計之合理性，暨評價財務報表之總體列報。</t>
        </is>
      </c>
    </row>
    <row r="599" customFormat="1" s="8">
      <c r="A599" s="6" t="inlineStr">
        <is>
          <t>Cùng Chủ sở hữu</t>
        </is>
      </c>
      <c r="B599" s="6" t="inlineStr">
        <is>
          <t>Same Owner</t>
        </is>
      </c>
      <c r="C599" s="6" t="inlineStr">
        <is>
          <t>同一所有者</t>
        </is>
      </c>
      <c r="D599" s="6" t="inlineStr">
        <is>
          <t>同一所有者</t>
        </is>
      </c>
    </row>
    <row r="600" customFormat="1" s="8">
      <c r="A600" s="6" t="inlineStr">
        <is>
          <t>Đã chia</t>
        </is>
      </c>
      <c r="B600" s="6" t="inlineStr">
        <is>
          <t>Paid-chọn-Dividends paid</t>
        </is>
      </c>
      <c r="C600" s="6" t="inlineStr">
        <is>
          <t>已派发</t>
        </is>
      </c>
      <c r="D600" s="6" t="inlineStr">
        <is>
          <t>已派發</t>
        </is>
      </c>
    </row>
    <row r="601" ht="41.4" customFormat="1" customHeight="1" s="8">
      <c r="A601" s="6" t="inlineStr">
        <is>
          <t>đã điều hành Công ty trong suốt năm và đến ngày lập báo cáo.</t>
        </is>
      </c>
      <c r="B601" s="6" t="inlineStr">
        <is>
          <t>has held business during the year and at the date of this report.</t>
        </is>
      </c>
      <c r="C601" s="6" t="inlineStr">
        <is>
          <t>已经负责维持公司整年度截至编制报表当日的运作。</t>
        </is>
      </c>
      <c r="D601" s="6" t="inlineStr">
        <is>
          <t>業已負責維持公司整年度截至編製報表當日之運作。</t>
        </is>
      </c>
    </row>
    <row r="602" customFormat="1" s="8">
      <c r="A602" s="6" t="inlineStr">
        <is>
          <t>Đã phân bổ</t>
        </is>
      </c>
      <c r="B602" s="6" t="inlineStr">
        <is>
          <t>Allocation</t>
        </is>
      </c>
      <c r="C602" s="6" t="inlineStr">
        <is>
          <t>已摊销额</t>
        </is>
      </c>
      <c r="D602" s="6" t="inlineStr">
        <is>
          <t>已攤銷額</t>
        </is>
      </c>
    </row>
    <row r="603" customFormat="1" s="8">
      <c r="A603" s="6" t="inlineStr">
        <is>
          <t>Đã trả trong năm</t>
        </is>
      </c>
      <c r="B603" s="6" t="inlineStr">
        <is>
          <t>Repaid in current year</t>
        </is>
      </c>
      <c r="C603" s="6" t="inlineStr">
        <is>
          <t>年度内偿付</t>
        </is>
      </c>
      <c r="D603" s="6" t="inlineStr">
        <is>
          <t>年度內償付</t>
        </is>
      </c>
    </row>
    <row r="604" ht="41.4" customFormat="1" customHeight="1" s="8">
      <c r="A604" s="6" t="inlineStr">
        <is>
          <t>Đặc điểm hoạt động của doanh nghiệp trong năm có ảnh hưởng đến Báo cáo tài chính</t>
        </is>
      </c>
      <c r="B604" s="6" t="inlineStr">
        <is>
          <t>Business performance impacting the financial statements</t>
        </is>
      </c>
      <c r="C604" s="6" t="inlineStr">
        <is>
          <t>企业年度内影响财务报表的营业状况</t>
        </is>
      </c>
      <c r="D604" s="6" t="inlineStr">
        <is>
          <t>企業年度內影響財務報表之營業狀況</t>
        </is>
      </c>
    </row>
    <row r="605" customFormat="1" s="8">
      <c r="A605" s="6" t="inlineStr">
        <is>
          <t>Dài hạn</t>
        </is>
      </c>
      <c r="B605" s="6" t="inlineStr">
        <is>
          <t>Long term</t>
        </is>
      </c>
      <c r="C605" s="6" t="inlineStr">
        <is>
          <t>长期</t>
        </is>
      </c>
      <c r="D605" s="6" t="inlineStr">
        <is>
          <t>長期</t>
        </is>
      </c>
    </row>
    <row r="606" ht="27.6" customFormat="1" customHeight="1" s="8">
      <c r="A606" s="6" t="inlineStr">
        <is>
          <t>Đánh giá chênh lệch tỷ giá cuối kỳ</t>
        </is>
      </c>
      <c r="B606" s="6" t="inlineStr">
        <is>
          <t>Period-end foreign exchange revaluation</t>
        </is>
      </c>
      <c r="C606" s="6" t="inlineStr">
        <is>
          <t>期末重估的汇兑差额</t>
        </is>
      </c>
      <c r="D606" s="6" t="inlineStr">
        <is>
          <t>期末重估之匯兌差額</t>
        </is>
      </c>
    </row>
    <row r="607" customFormat="1" s="8">
      <c r="A607" s="6" t="inlineStr">
        <is>
          <t>Đặt cọc phí quản lý</t>
        </is>
      </c>
      <c r="B607" s="6" t="inlineStr">
        <is>
          <t>Deposit for management fees</t>
        </is>
      </c>
      <c r="C607" s="6" t="inlineStr">
        <is>
          <t>管理费定金</t>
        </is>
      </c>
      <c r="D607" s="6" t="inlineStr">
        <is>
          <t>管理費定金</t>
        </is>
      </c>
    </row>
    <row r="608" customFormat="1" s="8">
      <c r="A608" s="6" t="inlineStr">
        <is>
          <t>Đặt cọc phí thuê văn phòng</t>
        </is>
      </c>
      <c r="B608" s="6" t="inlineStr">
        <is>
          <t>Deposit for office lease</t>
        </is>
      </c>
      <c r="C608" s="6" t="inlineStr">
        <is>
          <t>办公室租赁押金</t>
        </is>
      </c>
      <c r="D608" s="6" t="inlineStr">
        <is>
          <t>辦公室租賃押金</t>
        </is>
      </c>
    </row>
    <row r="609" customFormat="1" s="8">
      <c r="A609" s="6" t="inlineStr">
        <is>
          <t>Đặt cọc thuê kho hàng</t>
        </is>
      </c>
      <c r="B609" s="6" t="inlineStr">
        <is>
          <t>Deposit for warehouse lease</t>
        </is>
      </c>
      <c r="C609" s="6" t="inlineStr">
        <is>
          <t>仓库租赁押金</t>
        </is>
      </c>
      <c r="D609" s="6" t="inlineStr">
        <is>
          <t>倉庫租賃押金</t>
        </is>
      </c>
    </row>
    <row r="610" customFormat="1" s="8">
      <c r="A610" s="6" t="inlineStr">
        <is>
          <t>Đặt cọc thuê nhà xưởng</t>
        </is>
      </c>
      <c r="B610" s="6" t="inlineStr">
        <is>
          <t>Deposit for factory lease</t>
        </is>
      </c>
      <c r="C610" s="6" t="inlineStr">
        <is>
          <t>厂房租赁定金</t>
        </is>
      </c>
      <c r="D610" s="6" t="inlineStr">
        <is>
          <t>廠房租賃定金</t>
        </is>
      </c>
    </row>
    <row r="611" customFormat="1" s="8">
      <c r="A611" s="6" t="inlineStr">
        <is>
          <t>Đặt cọc thuê văn phòng</t>
        </is>
      </c>
      <c r="B611" s="6" t="inlineStr">
        <is>
          <t>Deposit for office lease</t>
        </is>
      </c>
      <c r="C611" s="6" t="inlineStr">
        <is>
          <t>办公室租赁定金</t>
        </is>
      </c>
      <c r="D611" s="6" t="inlineStr">
        <is>
          <t>辦公室租賃定金</t>
        </is>
      </c>
    </row>
    <row r="612" ht="27.6" customFormat="1" customHeight="1" s="8">
      <c r="A612" s="6" t="inlineStr">
        <is>
          <t>Đặt cọc thuê văn phòng, nhà xưởng</t>
        </is>
      </c>
      <c r="B612" s="6" t="inlineStr">
        <is>
          <t>Deposit for office and factory leases</t>
        </is>
      </c>
      <c r="C612" s="6" t="inlineStr">
        <is>
          <t>厂房、办公室租赁定金</t>
        </is>
      </c>
      <c r="D612" s="6" t="inlineStr">
        <is>
          <t>廠房、辦公室租賃定金</t>
        </is>
      </c>
    </row>
    <row r="613" customFormat="1" s="8">
      <c r="A613" s="6" t="inlineStr">
        <is>
          <t>Đặt cọc tiền thuê nhà</t>
        </is>
      </c>
      <c r="B613" s="6" t="inlineStr">
        <is>
          <t>Deposit for housing lease</t>
        </is>
      </c>
      <c r="C613" s="6" t="inlineStr">
        <is>
          <t>房租押金</t>
        </is>
      </c>
      <c r="D613" s="6" t="inlineStr">
        <is>
          <t>房租押金</t>
        </is>
      </c>
    </row>
    <row r="614" customFormat="1" s="8">
      <c r="A614" s="6" t="inlineStr">
        <is>
          <t>Đặt cọc tiền thuê xưởng</t>
        </is>
      </c>
      <c r="B614" s="6" t="inlineStr">
        <is>
          <t>Deposit for factory lease</t>
        </is>
      </c>
      <c r="C614" s="6" t="inlineStr">
        <is>
          <t>厂房租赁押金</t>
        </is>
      </c>
      <c r="D614" s="6" t="inlineStr">
        <is>
          <t>廠房租賃押金</t>
        </is>
      </c>
    </row>
    <row r="615" customFormat="1" s="8">
      <c r="A615" s="6" t="inlineStr">
        <is>
          <t>Đặt cọc, ký quỹ, ký cược</t>
        </is>
      </c>
      <c r="B615" s="6" t="inlineStr">
        <is>
          <t>Deposits and mortgages</t>
        </is>
      </c>
      <c r="C615" s="6" t="inlineStr">
        <is>
          <t>押金、保证金</t>
        </is>
      </c>
      <c r="D615" s="6" t="inlineStr">
        <is>
          <t>押金、保證金</t>
        </is>
      </c>
    </row>
    <row r="616" customFormat="1" s="8">
      <c r="A616" s="6" t="inlineStr">
        <is>
          <t>Đầu tư dài hạn</t>
        </is>
      </c>
      <c r="B616" s="6" t="inlineStr">
        <is>
          <t>Long-term investments</t>
        </is>
      </c>
      <c r="C616" s="6" t="inlineStr">
        <is>
          <t>长期投资</t>
        </is>
      </c>
      <c r="D616" s="6" t="inlineStr">
        <is>
          <t>長期投資</t>
        </is>
      </c>
    </row>
    <row r="617" ht="27.6" customFormat="1" customHeight="1" s="8">
      <c r="A617" s="6" t="inlineStr">
        <is>
          <t>Đầu tư góp vốn vào đơn vị khác</t>
        </is>
      </c>
      <c r="B617" s="6" t="inlineStr">
        <is>
          <t>Investments in other units</t>
        </is>
      </c>
      <c r="C617" s="6" t="inlineStr">
        <is>
          <t>投资入股其他单位</t>
        </is>
      </c>
      <c r="D617" s="6" t="inlineStr">
        <is>
          <t xml:space="preserve">	投資入股其他單位</t>
        </is>
      </c>
    </row>
    <row r="618" ht="27.6" customFormat="1" customHeight="1" s="8">
      <c r="A618" s="6" t="inlineStr">
        <is>
          <t>Đầu tư nắm giữ đến ngày đáo hạn</t>
        </is>
      </c>
      <c r="B618" s="6" t="inlineStr">
        <is>
          <t>Held-to-maturity investments</t>
        </is>
      </c>
      <c r="C618" s="6" t="inlineStr">
        <is>
          <t>持有至到期投资</t>
        </is>
      </c>
      <c r="D618" s="6" t="inlineStr">
        <is>
          <t>持有至到期投資</t>
        </is>
      </c>
    </row>
    <row r="619" ht="27.6" customFormat="1" customHeight="1" s="8">
      <c r="A619" s="6" t="inlineStr">
        <is>
          <t>Đầu tư nắm giữ đến ngày đáo hạn dài hạn</t>
        </is>
      </c>
      <c r="B619" s="6" t="inlineStr">
        <is>
          <t>Long-term held-to-maturity investments</t>
        </is>
      </c>
      <c r="C619" s="6" t="inlineStr">
        <is>
          <t>长期持有至到期投资</t>
        </is>
      </c>
      <c r="D619" s="6" t="inlineStr">
        <is>
          <t>長期持有至到期投資</t>
        </is>
      </c>
    </row>
    <row r="620" ht="69" customFormat="1" customHeight="1" s="8">
      <c r="A620" s="6" t="inlineStr">
        <is>
          <t>Đầu tư nắm giữ đến ngày đáo hạn là khoản đầu tư mà Công ty có ý định và khả năng giữ đến ngày đáo hạn.</t>
        </is>
      </c>
      <c r="B620" s="6" t="inlineStr">
        <is>
          <t>Held-to-maturity investments are invested amounts which the Company intends to or has ability to hold until maturity date.</t>
        </is>
      </c>
      <c r="C620" s="6" t="inlineStr">
        <is>
          <t>持有至到期投资指公司有明确意图与能力持有至到期的一种投资。</t>
        </is>
      </c>
      <c r="D620" s="6" t="inlineStr">
        <is>
          <t>持有至到期投資乃公司有明確意圖與能力持有至到期的一種投資。</t>
        </is>
      </c>
    </row>
    <row r="621" ht="207" customFormat="1" customHeight="1" s="8">
      <c r="A621" s="6" t="inlineStr">
        <is>
          <t>Đầu tư nắm giữ đến ngày đáo hạn là khoản đầu tư mà Công ty có ý định và khả năng giữ đến ngày đáo hạn. Các khoản đầu tư nắm giữ đến ngày đáo hạn bao gồm tiền gửi ngân hàng có kỳ hạn, trái phiếu, cổ phần ưu đãi bên phát hành bắt buộc phải mua lại tại một thời điểm nhất định trong tương lai và các khoản cho vay nắm giữ đến ngày đáo hạn với mục đích thu lãi hàng kỳ và các khoản đầu tư nắm giữ đến ngày đáo hạn khác.</t>
        </is>
      </c>
      <c r="B621" s="6" t="inlineStr">
        <is>
          <t>Held-to-maturity investments are invested amounts which the Company intends to or has ability to hold until maturity date. Held-to-maturity investments include term deposits, bonds, preference shares which the issuer is required to re-buy them in a certain time in the future, and loans held to maturity to earn periodic interest and other held-to-maturity investments.</t>
        </is>
      </c>
      <c r="C621" s="6" t="inlineStr">
        <is>
          <t>持有至到期投资指公司有明确意图与能力持有至到期的一种投资。持有至到期投资包含银行定期存款、债券、发行商必须在将来一定时期赎回之优先股、为定期获息而持有至到期的各项贷款以及其他持有至到期投资。</t>
        </is>
      </c>
      <c r="D621" s="6" t="inlineStr">
        <is>
          <t>持有至到期投資乃公司有明確意圖與能力持有至到期的一種投資。持有至到期投資包含銀行定期存款、債券、發行商必須在將來一定時期贖回之優先股、為定期獲息而持有至到期之各項貸款以及其他持有至到期投資。</t>
        </is>
      </c>
    </row>
    <row r="622" ht="96.59999999999999" customFormat="1" customHeight="1" s="8">
      <c r="A622" s="6" t="inlineStr">
        <is>
          <t>Đầu tư nắm giữ đến ngày đáo hạn là khoản đầu tư mà Công ty có ý định và khả năng giữ đến ngày đáo hạn. Các khoản đầu tư nắm giữ đến ngày đáo hạn bao gồm tiền gửi ngân hàng có kỳ hạn, trái phiếu.</t>
        </is>
      </c>
      <c r="B622" s="6" t="inlineStr">
        <is>
          <t>Held-to-maturity investments are invested amounts which the Company intends to or has ability to hold until maturity date. Held-to-maturity investments are term deposits, bonds.</t>
        </is>
      </c>
      <c r="C622" s="6" t="inlineStr">
        <is>
          <t>持有至到期投资是公司有明确意图与能力持有至到期的一种投资。持有至到期投资包含银行定期存款、债券。</t>
        </is>
      </c>
      <c r="D622" s="6" t="inlineStr">
        <is>
          <t>持有至到期投資乃公司有明確意圖與能力持有至到期的一種投資。持有至到期投資包含銀行定期存款、債券。</t>
        </is>
      </c>
    </row>
    <row r="623" ht="96.59999999999999" customFormat="1" customHeight="1" s="8">
      <c r="A623" s="6" t="inlineStr">
        <is>
          <t>Đầu tư nắm giữ đến ngày đáo hạn là khoản đầu tư mà Công ty có ý định và khả năng giữ đến ngày đáo hạn. Các khoản đầu tư nắm giữ đến ngày đáo hạn là tiền gửi ngân hàng có kỳ hạn.</t>
        </is>
      </c>
      <c r="B623" s="6" t="inlineStr">
        <is>
          <t>Held-to-maturity investments are invested amounts which the Company intends to or has ability to hold until maturity date. Held-to-maturity investments are term deposits.</t>
        </is>
      </c>
      <c r="C623" s="6" t="inlineStr">
        <is>
          <t>持有至到期投资指公司有明确意图与能力持有至到期的一种投资。持有至到期投资是指银行定期存款。</t>
        </is>
      </c>
      <c r="D623" s="6" t="inlineStr">
        <is>
          <t>持有至到期投資乃公司有明確意圖與能力持有至到期的一種投資。持有至到期投資係指銀行定期存款。</t>
        </is>
      </c>
    </row>
    <row r="624" ht="27.6" customFormat="1" customHeight="1" s="8">
      <c r="A624" s="6" t="inlineStr">
        <is>
          <t>Đầu tư nắm giữ đến ngày đáo hạn ngắn hạn</t>
        </is>
      </c>
      <c r="B624" s="6" t="inlineStr">
        <is>
          <t>Short-term held-to-maturity investments</t>
        </is>
      </c>
      <c r="C624" s="6" t="inlineStr">
        <is>
          <t>短期持有至到期投资</t>
        </is>
      </c>
      <c r="D624" s="6" t="inlineStr">
        <is>
          <t>短期持有至到期投資</t>
        </is>
      </c>
    </row>
    <row r="625" customFormat="1" s="8">
      <c r="A625" s="6" t="inlineStr">
        <is>
          <t>Đầu tư ngắn hạn</t>
        </is>
      </c>
      <c r="B625" s="6" t="inlineStr">
        <is>
          <t>Short-term investments</t>
        </is>
      </c>
      <c r="C625" s="6" t="inlineStr">
        <is>
          <t>短期投资</t>
        </is>
      </c>
      <c r="D625" s="6" t="inlineStr">
        <is>
          <t>短期投資</t>
        </is>
      </c>
    </row>
    <row r="626" ht="27.6" customFormat="1" customHeight="1" s="8">
      <c r="A626" s="6" t="inlineStr">
        <is>
          <t>Đầu tư tài chính ngắn hạn</t>
        </is>
      </c>
      <c r="B626" s="6" t="inlineStr">
        <is>
          <t>Short-term financial investments</t>
        </is>
      </c>
      <c r="C626" s="6" t="inlineStr">
        <is>
          <t>短期金融性投资</t>
        </is>
      </c>
      <c r="D626" s="6" t="inlineStr">
        <is>
          <t>短期金融性投資</t>
        </is>
      </c>
    </row>
    <row r="627" ht="27.6" customFormat="1" customHeight="1" s="8">
      <c r="A627" s="6" t="inlineStr">
        <is>
          <t>Đầu tư tài chính dài hạn</t>
        </is>
      </c>
      <c r="B627" s="6" t="inlineStr">
        <is>
          <t>Long-term financial investments</t>
        </is>
      </c>
      <c r="C627" s="6" t="inlineStr">
        <is>
          <t>长期金融性投资</t>
        </is>
      </c>
      <c r="D627" s="6" t="inlineStr">
        <is>
          <t>長期金融性投資</t>
        </is>
      </c>
    </row>
    <row r="628" ht="193.2" customFormat="1" customHeight="1" s="8">
      <c r="A628" s="6" t="inlineStr">
        <is>
          <t>Đầu tư vào công cụ vốn của đơn vị khác bao gồm các khoản đầu tư công cụ vốn nhưng Công ty không có quyền kiểm soát, đồng kiểm soát hoặc có ảnh hưởng đáng kể đối với bên được đầu tư. Các khoản đầu tư vào công cụ vốn của đơn vị khác được ghi nhận ban đầu theo giá gốc, bao gồm giá mua hoặc khoản góp vốn cộng các chi phí trực tiếp liên quan đến hoạt động đầu tư.</t>
        </is>
      </c>
      <c r="B628" s="6" t="inlineStr">
        <is>
          <t xml:space="preserve">Investments in equity instruments of other units include investments in equity instruments but the Company has no rights in control, joint control or significant influence on the invested party. Investments in equity instruments of other units are initially recognized at historical costs including buying prices or contributed value plus costs directly related to the investment.  </t>
        </is>
      </c>
      <c r="C628" s="6" t="inlineStr">
        <is>
          <t>对其他单位的权益工具的投资是由公司投资而对被投资者非控制或具联合控制或重大影响的一种投资。对其他单位权益工具的投资以原始成本（原价）认列，其成本包含购买价款或投资资金加计与投资项目有直接关联的其他费用。</t>
        </is>
      </c>
      <c r="D628" s="6" t="inlineStr">
        <is>
          <t>對其他單位的權益工具之投資乃由公司投資而對被投資者非控制或具聯合控制或重大影響的一種投資。對其他單位權益工具之投資以原始成本（原價）認列，其成本包含購買價款或投資資金加計與投資項目有直接關聯的其他費用。</t>
        </is>
      </c>
    </row>
    <row r="629" customFormat="1" s="8">
      <c r="A629" s="6" t="inlineStr">
        <is>
          <t>Đầu tư vào công ty con</t>
        </is>
      </c>
      <c r="B629" s="6" t="inlineStr">
        <is>
          <t>Investment in subsidiaries</t>
        </is>
      </c>
      <c r="C629" s="6" t="inlineStr">
        <is>
          <t>投资子公司</t>
        </is>
      </c>
      <c r="D629" s="6" t="inlineStr">
        <is>
          <t>投資子公司</t>
        </is>
      </c>
    </row>
    <row r="630" ht="27.6" customFormat="1" customHeight="1" s="8">
      <c r="A630" s="6" t="inlineStr">
        <is>
          <t>Đầu tư vào công ty con công ty liên kết, liên doanh</t>
        </is>
      </c>
      <c r="B630" s="6" t="inlineStr">
        <is>
          <t>Investment in subsidiaries, joint ventures and associates</t>
        </is>
      </c>
      <c r="C630" s="6" t="inlineStr">
        <is>
          <t>投资子公司或投资关联企业及合资</t>
        </is>
      </c>
      <c r="D630" s="6" t="inlineStr">
        <is>
          <t>投資子公司或投資關聯企業及合資</t>
        </is>
      </c>
    </row>
    <row r="631" ht="27.6" customFormat="1" customHeight="1" s="8">
      <c r="A631" s="6" t="inlineStr">
        <is>
          <t>Đầu tư vào công ty liên doanh, liên kết</t>
        </is>
      </c>
      <c r="B631" s="6" t="inlineStr">
        <is>
          <t>Investment in joint ventures and associates</t>
        </is>
      </c>
      <c r="C631" s="6" t="inlineStr">
        <is>
          <t>投资关联企业及合资</t>
        </is>
      </c>
      <c r="D631" s="6" t="inlineStr">
        <is>
          <t xml:space="preserve">	投資關聯企業及合資</t>
        </is>
      </c>
    </row>
    <row r="632" ht="27.6" customFormat="1" customHeight="1" s="8">
      <c r="A632" s="6" t="inlineStr">
        <is>
          <t>Đầu tư vào công ty liên kết, liên doanh</t>
        </is>
      </c>
      <c r="B632" s="6" t="inlineStr">
        <is>
          <t>Investment in joint ventures and associates</t>
        </is>
      </c>
      <c r="C632" s="6" t="inlineStr">
        <is>
          <t>投资关联企业及合资</t>
        </is>
      </c>
      <c r="D632" s="6" t="inlineStr">
        <is>
          <t>投資關聯企業及合資</t>
        </is>
      </c>
    </row>
    <row r="633" customFormat="1" s="8">
      <c r="A633" s="6" t="inlineStr">
        <is>
          <t>Đến ngày</t>
        </is>
      </c>
      <c r="B633" s="6" t="inlineStr">
        <is>
          <t>To</t>
        </is>
      </c>
      <c r="C633" s="6" t="inlineStr">
        <is>
          <t>至(日）</t>
        </is>
      </c>
      <c r="D633" s="6" t="inlineStr">
        <is>
          <t>至(日）</t>
        </is>
      </c>
    </row>
    <row r="634" ht="55.2" customFormat="1" customHeight="1" s="8">
      <c r="A634" s="6" t="inlineStr">
        <is>
          <t>Điều chỉnh chi phí thuế thu nhập doanh nghiệp của các năm trước vào chi phí thuế thu nhập năm nay</t>
        </is>
      </c>
      <c r="B634" s="6" t="inlineStr">
        <is>
          <t>Corporate income tax expense of prior years adjusted to current year</t>
        </is>
      </c>
      <c r="C634" s="6" t="inlineStr">
        <is>
          <t>以前年度的所得税费用调整转入本年度的所得税费用</t>
        </is>
      </c>
      <c r="D634" s="6" t="inlineStr">
        <is>
          <t>以前年度的所得稅費用調整轉入本年度的所得稅費用</t>
        </is>
      </c>
    </row>
    <row r="635" customFormat="1" s="8">
      <c r="A635" s="6" t="inlineStr">
        <is>
          <t>Điều chỉnh chiết khấu</t>
        </is>
      </c>
      <c r="B635" s="6" t="inlineStr">
        <is>
          <t>Discount adjustments</t>
        </is>
      </c>
      <c r="C635" s="6" t="inlineStr">
        <is>
          <t>折扣调整数</t>
        </is>
      </c>
      <c r="D635" s="6" t="inlineStr">
        <is>
          <t>折扣調整數</t>
        </is>
      </c>
    </row>
    <row r="636" customFormat="1" s="8">
      <c r="A636" s="6" t="inlineStr">
        <is>
          <t>Điều chỉnh cho các khoản:</t>
        </is>
      </c>
      <c r="B636" s="6" t="inlineStr">
        <is>
          <t>Adjustments for:</t>
        </is>
      </c>
      <c r="C636" s="6" t="inlineStr">
        <is>
          <t>调整项目：</t>
        </is>
      </c>
      <c r="D636" s="6" t="inlineStr">
        <is>
          <t>調整項目：</t>
        </is>
      </c>
    </row>
    <row r="637" ht="27.6" customFormat="1" customHeight="1" s="8">
      <c r="A637" s="6" t="inlineStr">
        <is>
          <t>Điều chỉnh giảm lợi nhuận trước thuế</t>
        </is>
      </c>
      <c r="B637" s="6" t="inlineStr">
        <is>
          <t>Adjustments to decrease profit before tax</t>
        </is>
      </c>
      <c r="C637" s="6" t="inlineStr">
        <is>
          <t>税前利润的减项</t>
        </is>
      </c>
      <c r="D637" s="6" t="inlineStr">
        <is>
          <t>稅前利潤的減項</t>
        </is>
      </c>
    </row>
    <row r="638" ht="27.6" customFormat="1" customHeight="1" s="8">
      <c r="A638" s="6" t="inlineStr">
        <is>
          <t>Điều chỉnh tăng lợi nhuận trước thuế</t>
        </is>
      </c>
      <c r="B638" s="6" t="inlineStr">
        <is>
          <t>Adjustments to increase profit before tax</t>
        </is>
      </c>
      <c r="C638" s="6" t="inlineStr">
        <is>
          <t>税前利润的增项</t>
        </is>
      </c>
      <c r="D638" s="6" t="inlineStr">
        <is>
          <t>稅前利潤的增項</t>
        </is>
      </c>
    </row>
    <row r="639" ht="41.4" customFormat="1" customHeight="1" s="8">
      <c r="A639" s="6" t="inlineStr">
        <is>
          <t>Điều chỉnh thuế thu nhập doanh nghiệp năm trước vào năm nay</t>
        </is>
      </c>
      <c r="B639" s="6" t="inlineStr">
        <is>
          <t>Corporate income tax expense of prior year adjusted to current year</t>
        </is>
      </c>
      <c r="C639" s="6" t="inlineStr">
        <is>
          <t>以前年度的所得税费用调整转入本年度的所得税费用</t>
        </is>
      </c>
      <c r="D639" s="6" t="inlineStr">
        <is>
          <t>以前年度的所得稅費用調整轉入本年度的所得稅費用</t>
        </is>
      </c>
    </row>
    <row r="640" ht="41.4" customFormat="1" customHeight="1" s="8">
      <c r="A640" s="6" t="inlineStr">
        <is>
          <t>Điều chỉnh thuế TNDN năm trước vào năm nay</t>
        </is>
      </c>
      <c r="B640" s="6" t="inlineStr">
        <is>
          <t>Corporate income tax expense of prior year adjusted to current year</t>
        </is>
      </c>
      <c r="C640" s="6" t="inlineStr">
        <is>
          <t>以前年度的所得税费用调整转入本年度的所得税费用</t>
        </is>
      </c>
      <c r="D640" s="6" t="inlineStr">
        <is>
          <t>以前年度的所得稅費用調整轉入本年度的所得稅費用</t>
        </is>
      </c>
    </row>
    <row r="641" ht="27.6" customFormat="1" customHeight="1" s="8">
      <c r="A641" s="6" t="inlineStr">
        <is>
          <t>Điều khoản gia hạn thuê hoặc quyền được mua tài sản:</t>
        </is>
      </c>
      <c r="B641" s="6" t="inlineStr">
        <is>
          <t>Terms of lease extension or option of purchasing assets:</t>
        </is>
      </c>
      <c r="C641" s="6" t="inlineStr">
        <is>
          <t>资产优先购买权或可延长租期条款：</t>
        </is>
      </c>
      <c r="D641" s="6" t="inlineStr">
        <is>
          <t>資產優先購買權或可延長租期條款：</t>
        </is>
      </c>
    </row>
    <row r="642" customFormat="1" s="8">
      <c r="A642" s="6" t="inlineStr">
        <is>
          <t>Đo lường giá trị hợp lý</t>
        </is>
      </c>
      <c r="B642" s="6" t="inlineStr">
        <is>
          <t>Fair value measurement</t>
        </is>
      </c>
      <c r="C642" s="6" t="inlineStr">
        <is>
          <t>公允价值衡量</t>
        </is>
      </c>
      <c r="D642" s="6" t="inlineStr">
        <is>
          <t>公允價值衡量</t>
        </is>
      </c>
    </row>
    <row r="643" ht="179.4" customFormat="1" customHeight="1" s="8">
      <c r="A643" s="6" t="inlineStr">
        <is>
          <t>Do việc áp dụng luật thuế và các qui định về thuế đối với các loại nghiệp vụ khác nhau, bao gồm việc xác định giá trị thị trường trong giao dịch kinh doanh giữa các bên có quan hệ liên kết, có thể được giải thích theo nhiều cách khác nhau, nên số liệu về chi phí thuế thu nhập doanh nghiệp đã được ghi nhận ở trên có thể thay đổi tùy theo quyết định cuối cùng của cơ quan thuế.</t>
        </is>
      </c>
      <c r="B643" s="6" t="inlineStr">
        <is>
          <t>As the application of tax laws and regulations for different transactions, including the determination of arm’s length prices in business transactions between related parties, may be understood in various ways, the corporate income tax expense recognized above may be adjusted in accordance with the conclusive decision of the tax authority.</t>
        </is>
      </c>
      <c r="C643" s="6" t="inlineStr">
        <is>
          <t>由于不同会计事项适用不同税法及其相关法规，关联方交易中常规交易价格的认定亦受此限，所以上述企业所得税费用金额有可能因税务机关的最终决定而变动。</t>
        </is>
      </c>
      <c r="D643" s="6" t="inlineStr">
        <is>
          <t>由於不同會計事項適用不同稅法及其相關法規，關聯方交易中常規交易價格的認定亦受此限，所以上述企業所得稅費用金額有可能因稅務機關的最終決定而變動。</t>
        </is>
      </c>
    </row>
    <row r="644" ht="179.4" customFormat="1" customHeight="1" s="8">
      <c r="A644" s="6" t="inlineStr">
        <is>
          <t>Do việc áp dụng luật thuế và các quy định về thuế đối với các loại nghiệp vụ khác nhau, bao gồm việc xác định giá trị thị trường trong giao dịch kinh doanh giữa các bên có quan hệ liên kết, có thể được giải thích theo nhiều cách khác nhau, nên số liệu về chi phí thuế thu nhập doanh nghiệp đã được ghi nhận ở trên có thể thay đổi tùy theo quyết định cuối cùng của cơ quan thuế.</t>
        </is>
      </c>
      <c r="B644" s="6" t="inlineStr">
        <is>
          <t>As the application of tax laws and regulations for different transactions, including the determination of arm’s length prices in business transactions between related parties, may be understood in various ways, the corporate income tax expense recognized above may be adjusted in accordance with the conclusive decision of the tax authority.</t>
        </is>
      </c>
      <c r="C644" s="6" t="inlineStr">
        <is>
          <t>由于不同会计事项适用不同税法及其相关法规，关联方交易中常规交易价格的认定亦受此限，所以上述企业所得税费用金额有可能因税务机关的最终决定而变动。</t>
        </is>
      </c>
      <c r="D644" s="6" t="inlineStr">
        <is>
          <t>由於不同會計事項適用不同稅法及其相關法規，關聯方交易中常規交易價格的認定亦受此限，所以上述企業所得稅費用金額有可能因稅務機關的最終決定而變動。</t>
        </is>
      </c>
    </row>
    <row r="645" ht="165.6" customFormat="1" customHeight="1" s="8">
      <c r="A645" s="6" t="inlineStr">
        <is>
          <t>Do việc áp dụng luật thuế và các quy định về thuế đối với các loại nghiệp vụ khác nhau, bao gồm việc xác định giá trị thị trường trong giao dịch kinh doanh giữa các bên có quan hệ liên kết, có thể được giải thích theo nhiều cách khác nhau, nên số liệu về chi phí thuế thu nhập doanh nghiệp có thể thay đổi tùy theo quyết định cuối cùng của cơ quan thuế.</t>
        </is>
      </c>
      <c r="B645" s="6" t="inlineStr">
        <is>
          <t>As the application of tax laws and regulations for different transactions, including the determination of arm’s length prices in business transactions between related parties, may be understood in various ways, the corporate income tax expense may be adjusted in accordance with the conclusive decision of the tax authority.</t>
        </is>
      </c>
      <c r="C645" s="6" t="inlineStr">
        <is>
          <t>由于不同会计事项适用不同税法及其相关法规，关联方交易中常规交易价格的认定亦受此限，所以上述企业所得税费用金额有可能因税务机关的最终决定而变动。</t>
        </is>
      </c>
      <c r="D645" s="6" t="inlineStr">
        <is>
          <t>由於不同會計事項適用不同稅法及其相關法規，關聯方交易中常規交易價格之認定亦受此限，所以上述企業所得稅費用金額有可能因稅務機關之最終決定而變動。</t>
        </is>
      </c>
    </row>
    <row r="646" ht="165.6" customFormat="1" customHeight="1" s="8">
      <c r="A646" s="6" t="inlineStr">
        <is>
          <t>Do việc áp dụng luật thuế và các qui định về thuế đối với các loại nghiệp vụ khác nhau, bao gồm việc xác định giá trị thị trường trong giao dịch kinh doanh giữa các bên có quan hệ liên kết, có thể được giải thích theo nhiều cách khác nhau, nên số liệu về chi phí thuế thu nhập doanh nghiệp có thể thay đổi tùy theo quyết định cuối cùng của cơ quan thuế.</t>
        </is>
      </c>
      <c r="B646" s="6" t="inlineStr">
        <is>
          <t>As the application of tax laws and regulations for different transactions, including the determination of arm’s length prices in business transactions between related parties, may be understood in various ways, the corporate income tax expense may be adjusted in accordance with the conclusive decision of the tax authority.</t>
        </is>
      </c>
      <c r="C646" s="6" t="inlineStr">
        <is>
          <t>由于不同会计事项适用不同税法及其相关法规，关联方交易中常规交易价格的认定亦受此限，所以上述企业所得税费用金额有可能因税务机关的最终决定而变动。</t>
        </is>
      </c>
      <c r="D646" s="6" t="inlineStr">
        <is>
          <t>由於不同會計事項適用不同稅法及其相關法規，關聯方交易中常規交易價格之認定亦受此限，所以上述企業所得稅費用金額有可能因稅務機關之最終決定而變動。</t>
        </is>
      </c>
    </row>
    <row r="647" customFormat="1" s="8">
      <c r="A647" s="6" t="inlineStr">
        <is>
          <t>Doanh thu bán hàng</t>
        </is>
      </c>
      <c r="B647" s="6" t="inlineStr">
        <is>
          <t>Sales from selling goods</t>
        </is>
      </c>
      <c r="C647" s="6" t="inlineStr">
        <is>
          <t>销货收入</t>
        </is>
      </c>
      <c r="D647" s="6" t="inlineStr">
        <is>
          <t>銷貨收入</t>
        </is>
      </c>
    </row>
    <row r="648" ht="55.2" customFormat="1" customHeight="1" s="8">
      <c r="A648" s="6" t="inlineStr">
        <is>
          <t>Doanh thu bán hàng được ghi nhận khi được xác định tương đối chắc chắn và thỏa mãn đồng thời các điều kiện sau:</t>
        </is>
      </c>
      <c r="B648" s="6" t="inlineStr">
        <is>
          <t>Sales from selling goods should be recognized when it can be measured reliably and satisfied all the following conditions:</t>
        </is>
      </c>
      <c r="C648" s="6" t="inlineStr">
        <is>
          <t>销货收入在其公允价值能够可靠计量且同时具备下列条件的前提下认列入账：</t>
        </is>
      </c>
      <c r="D648" s="6" t="inlineStr">
        <is>
          <t>銷貨收入在其公允價值能夠可靠計量且同時具備下列條件的前提下認列入帳：</t>
        </is>
      </c>
    </row>
    <row r="649" customFormat="1" s="8">
      <c r="A649" s="6" t="inlineStr">
        <is>
          <t>Doanh thu bán hàng hóa</t>
        </is>
      </c>
      <c r="B649" s="6" t="inlineStr">
        <is>
          <t>Sales from selling goods</t>
        </is>
      </c>
      <c r="C649" s="6" t="inlineStr">
        <is>
          <t>销售商品收入</t>
        </is>
      </c>
      <c r="D649" s="6" t="inlineStr">
        <is>
          <t>銷售商品收入</t>
        </is>
      </c>
    </row>
    <row r="650" ht="27.6" customFormat="1" customHeight="1" s="8">
      <c r="A650" s="6" t="inlineStr">
        <is>
          <t>Doanh thu bán hàng hóa và cung cấp dịch vụ</t>
        </is>
      </c>
      <c r="B650" s="6" t="inlineStr">
        <is>
          <t>Gross sales</t>
        </is>
      </c>
      <c r="C650" s="6" t="inlineStr">
        <is>
          <t>销售商品或提供服务收入</t>
        </is>
      </c>
      <c r="D650" s="6" t="inlineStr">
        <is>
          <t>銷售商品或提供服務收入</t>
        </is>
      </c>
    </row>
    <row r="651" ht="27.6" customFormat="1" customHeight="1" s="8">
      <c r="A651" s="6" t="inlineStr">
        <is>
          <t>Doanh thu bán hàng và cung cấp dịch vụ</t>
        </is>
      </c>
      <c r="B651" s="6" t="inlineStr">
        <is>
          <t xml:space="preserve">Gross sales </t>
        </is>
      </c>
      <c r="C651" s="6" t="inlineStr">
        <is>
          <t>销售货物和提供劳务收入</t>
        </is>
      </c>
      <c r="D651" s="6" t="inlineStr">
        <is>
          <t>銷售貨物及提供勞務收入</t>
        </is>
      </c>
    </row>
    <row r="652" ht="27.6" customFormat="1" customHeight="1" s="8">
      <c r="A652" s="6" t="inlineStr">
        <is>
          <t>Doanh thu bán thành phẩm</t>
        </is>
      </c>
      <c r="B652" s="6" t="inlineStr">
        <is>
          <t>Sales from selling finished goods</t>
        </is>
      </c>
      <c r="C652" s="6" t="inlineStr">
        <is>
          <t>销售制成品收入</t>
        </is>
      </c>
      <c r="D652" s="6" t="inlineStr">
        <is>
          <t>銷售製成品收入</t>
        </is>
      </c>
    </row>
    <row r="653" ht="27.6" customFormat="1" customHeight="1" s="8">
      <c r="A653" s="6" t="inlineStr">
        <is>
          <t>Doanh thu bán thành phẩm và cung cấp dịch vụ</t>
        </is>
      </c>
      <c r="B653" s="6" t="inlineStr">
        <is>
          <t>Sales from selling finished goods and supplying services</t>
        </is>
      </c>
      <c r="C653" s="6" t="inlineStr">
        <is>
          <t>销售制成品及提供劳务收入</t>
        </is>
      </c>
      <c r="D653" s="6" t="inlineStr">
        <is>
          <t>銷售製成品及提供勞務收入</t>
        </is>
      </c>
    </row>
    <row r="654" ht="41.4" customFormat="1" customHeight="1" s="8">
      <c r="A654" s="6" t="inlineStr">
        <is>
          <t>Doanh thu bán thành phẩm, cung cấp dịch vụ gia công</t>
        </is>
      </c>
      <c r="B654" s="6" t="inlineStr">
        <is>
          <t>Sales from selling finished goods and supplying processing services</t>
        </is>
      </c>
      <c r="C654" s="6" t="inlineStr">
        <is>
          <t>销售制成品、提供劳务收入</t>
        </is>
      </c>
      <c r="D654" s="6" t="inlineStr">
        <is>
          <t>銷售製成品、提供勞務收入</t>
        </is>
      </c>
    </row>
    <row r="655" ht="27.6" customFormat="1" customHeight="1" s="8">
      <c r="A655" s="15" t="inlineStr">
        <is>
          <t>Doanh thu bán thành phẩm, hàng hóa</t>
        </is>
      </c>
      <c r="B655" s="6" t="inlineStr">
        <is>
          <t xml:space="preserve">Finished goods and goods sold </t>
        </is>
      </c>
      <c r="C655" s="6" t="inlineStr">
        <is>
          <t>销售制成品、商品的收入</t>
        </is>
      </c>
      <c r="D655" s="6" t="inlineStr">
        <is>
          <t>銷售製成品、商品之收入</t>
        </is>
      </c>
    </row>
    <row r="656" customFormat="1" s="8">
      <c r="A656" s="15" t="inlineStr">
        <is>
          <t>Doanh thu cho thuê nhà xưởng</t>
        </is>
      </c>
      <c r="B656" s="6" t="inlineStr">
        <is>
          <t>Factories leased out</t>
        </is>
      </c>
      <c r="C656" s="6" t="inlineStr">
        <is>
          <t>工厂出租收入</t>
        </is>
      </c>
      <c r="D656" s="6" t="inlineStr">
        <is>
          <t>工廠出租收入</t>
        </is>
      </c>
    </row>
    <row r="657" customFormat="1" s="8">
      <c r="A657" s="15" t="inlineStr">
        <is>
          <t>Doanh thu cho thuê tài sản</t>
        </is>
      </c>
      <c r="B657" s="6" t="inlineStr">
        <is>
          <t>Rental income</t>
        </is>
      </c>
      <c r="C657" s="6" t="inlineStr">
        <is>
          <t>资产租赁收入</t>
        </is>
      </c>
      <c r="D657" s="6" t="inlineStr">
        <is>
          <t>資產租賃收入</t>
        </is>
      </c>
    </row>
    <row r="658" ht="110.4" customFormat="1" customHeight="1" s="8">
      <c r="A658" s="15" t="inlineStr">
        <is>
          <t>Doanh thu cho thuê tài sản hoạt động được ghi nhận theo phương pháp đường thẳng trong suốt thời gian cho thuê. Tiền cho thuê nhận trước của nhiều kỳ được phân bổ vào doanh thu phù hợp với thời gian cho thuê.</t>
        </is>
      </c>
      <c r="B658" s="6" t="inlineStr">
        <is>
          <t xml:space="preserve">Income from lease of operating assets shall be recorded on a straight-line basis over the lease period. Rent in advance for many periods shall be allocated into revenue over the term of the relevant lease. </t>
        </is>
      </c>
      <c r="C658" s="6" t="inlineStr">
        <is>
          <t>资产租赁收入在出租期间采用直线法认列。涉及多个会计期间的预收租金按照出租期限逐期转为收入。</t>
        </is>
      </c>
      <c r="D658" s="6" t="inlineStr">
        <is>
          <t>資產租賃收入在出租期間採用直線法認列。涉及多個會計期間的預收租金按照出租期限逐期轉為收入。</t>
        </is>
      </c>
    </row>
    <row r="659" ht="27.6" customFormat="1" customHeight="1" s="8">
      <c r="A659" s="6" t="inlineStr">
        <is>
          <t>Doanh thu chưa thực hiện dài hạn</t>
        </is>
      </c>
      <c r="B659" s="6" t="inlineStr">
        <is>
          <t>Long-term unearned revenue</t>
        </is>
      </c>
      <c r="C659" s="6" t="inlineStr">
        <is>
          <t>长期未实现营收</t>
        </is>
      </c>
      <c r="D659" s="6" t="inlineStr">
        <is>
          <t>長期未實現營收</t>
        </is>
      </c>
    </row>
    <row r="660" ht="27.6" customFormat="1" customHeight="1" s="8">
      <c r="A660" s="6" t="inlineStr">
        <is>
          <t>Doanh thu chưa thực hiện ngắn hạn</t>
        </is>
      </c>
      <c r="B660" s="6" t="inlineStr">
        <is>
          <t>Short-term unearned revenue</t>
        </is>
      </c>
      <c r="C660" s="6" t="inlineStr">
        <is>
          <t>短期为实现营收</t>
        </is>
      </c>
      <c r="D660" s="6" t="inlineStr">
        <is>
          <t>短期未實現營收</t>
        </is>
      </c>
    </row>
    <row r="661" ht="27.6" customFormat="1" customHeight="1" s="8">
      <c r="A661" s="6" t="inlineStr">
        <is>
          <t>Doanh thu cung cấp dịch vụ</t>
        </is>
      </c>
      <c r="B661" s="6" t="inlineStr">
        <is>
          <t>Revenue from supplying services</t>
        </is>
      </c>
      <c r="C661" s="6" t="inlineStr">
        <is>
          <t>提供劳务收入</t>
        </is>
      </c>
      <c r="D661" s="6" t="inlineStr">
        <is>
          <t>提供勞務收入</t>
        </is>
      </c>
    </row>
    <row r="662" ht="69" customFormat="1" customHeight="1" s="8">
      <c r="A662" s="6" t="inlineStr">
        <is>
          <t>Doanh thu cung cấp dịch vụ được ghi nhận khi được xác định tương đối chắc chắn và thỏa mãn đồng thời các điều kiện sau:</t>
        </is>
      </c>
      <c r="B662" s="6" t="inlineStr">
        <is>
          <t>Revenue from supplying services should be recognized when it can be measured reliably and satisfied all the following conditions:</t>
        </is>
      </c>
      <c r="C662" s="6" t="inlineStr">
        <is>
          <t>提供劳务收入在其公允价值能够可靠计量且同时具备下列条件的前提下认列入账：</t>
        </is>
      </c>
      <c r="D662" s="6" t="inlineStr">
        <is>
          <t>提供勞務收入在其公允價值能夠可靠計量且同時具備下列條件的前提下認列入帳：</t>
        </is>
      </c>
    </row>
    <row r="663" ht="138" customFormat="1" customHeight="1" s="8">
      <c r="A663" s="6" t="inlineStr">
        <is>
          <t>Doanh thu được xác định tương đối chắc chắn. Khi hợp đồng quy định người mua được quyền trả lại dịch vụ đã mua theo những điều kiện cụ thể, Công ty chỉ được ghi nhận doanh thu khi những điều kiện cụ thể đó không còn tồn tại và người mua không được quyền trả lại dịch vụ đã cung cấp;</t>
        </is>
      </c>
      <c r="B663" s="6" t="inlineStr">
        <is>
          <t>Sales are determined reliably. When contracts define that buyers are entitled to return services purchased under specific conditions, the Company shall only record turnovers if such specific conditions no longer exist and buyers are not entitled to return provided services;</t>
        </is>
      </c>
      <c r="C663" s="6" t="inlineStr">
        <is>
          <t>提供劳务收入能够可靠计量。若商业合同中规定买方有权按照特定条件退回劳务，则公司仅能在特定条件再无存在而买方无权退回劳务的前提下认列收入；</t>
        </is>
      </c>
      <c r="D663" s="6" t="inlineStr">
        <is>
          <t>提供勞務收入能夠可靠計量。若商業合約中規定買方有權按照特定條件退回勞務，則公司僅能在特定條件再無存在而買方無權退回勞務的前提下認列收入；</t>
        </is>
      </c>
    </row>
    <row r="664" ht="207" customFormat="1" customHeight="1" s="8">
      <c r="A664" s="6" t="inlineStr">
        <is>
          <t>Doanh thu được xác định tương đối chắc chắn. Khi hợp đồng quy định người mua được quyền trả lại sản phẩm, hàng hoá đã mua theo những điều kiện cụ thể, Công ty chỉ được ghi nhận doanh thu khi những điều kiện cụ thể đó không còn tồn tại và người mua không được quyền trả lại sản phẩm, hàng hoá (trừ trường hợp khách hàng có quyền trả lại hàng hóa dưới hình thức đổi lại để lấy hàng hóa, dịch vụ khác); và</t>
        </is>
      </c>
      <c r="B664" s="6" t="inlineStr">
        <is>
          <t>Sales are determined reliably. When contracts define that buyers are entitled to return products, goods purchased under specific conditions, the Company shall only record sales if such specific conditions no longer exist and buyers are not entitled to return products, goods (unless the customer is entitled to return the goods under the form of exchange for other goods or services); and</t>
        </is>
      </c>
      <c r="C664" s="6" t="inlineStr">
        <is>
          <t>销货收入能够可靠计量。若商业合同中规定买方有权按照特定条件退货，则公司仅能在特定条件再无存在而买方无权退货（客户有权以退换方式换来其他商品、劳务除外）的前提下认列销货收入；以及</t>
        </is>
      </c>
      <c r="D664" s="6" t="inlineStr">
        <is>
          <t>銷貨收入能夠可靠計量。若商業合約中規定買方有權按照特定條件退貨，則公司僅能在特定條件再無存在而買方無權退貨（客戶有權以退換方式換來其他商品、勞務除外）的前提下認列銷貨收入；以及</t>
        </is>
      </c>
    </row>
    <row r="665" customFormat="1" s="8">
      <c r="A665" s="6" t="inlineStr">
        <is>
          <t>Doanh thu gia công</t>
        </is>
      </c>
      <c r="B665" s="6" t="inlineStr">
        <is>
          <t>Processing supplied</t>
        </is>
      </c>
      <c r="C665" s="6" t="inlineStr">
        <is>
          <t>加工收入</t>
        </is>
      </c>
      <c r="D665" s="6" t="inlineStr">
        <is>
          <t>加工收入</t>
        </is>
      </c>
    </row>
    <row r="666" customFormat="1" s="8">
      <c r="A666" s="6" t="inlineStr">
        <is>
          <t>Doanh thu hoạt động tài chính</t>
        </is>
      </c>
      <c r="B666" s="6" t="inlineStr">
        <is>
          <t>Financial income</t>
        </is>
      </c>
      <c r="C666" s="6" t="inlineStr">
        <is>
          <t>财务收入</t>
        </is>
      </c>
      <c r="D666" s="6" t="inlineStr">
        <is>
          <t>財務收入</t>
        </is>
      </c>
    </row>
    <row r="667" customFormat="1" s="8">
      <c r="A667" s="6" t="inlineStr">
        <is>
          <t>Doanh thu khác</t>
        </is>
      </c>
      <c r="B667" s="6" t="inlineStr">
        <is>
          <t>Others</t>
        </is>
      </c>
      <c r="C667" s="6" t="inlineStr">
        <is>
          <t>其他营业收入</t>
        </is>
      </c>
      <c r="D667" s="6" t="inlineStr">
        <is>
          <t>其他營業收入</t>
        </is>
      </c>
    </row>
    <row r="668" ht="27.6" customFormat="1" customHeight="1" s="8">
      <c r="A668" s="6" t="inlineStr">
        <is>
          <t>Doanh thu nhận trước bán E-voucher</t>
        </is>
      </c>
      <c r="B668" s="6" t="inlineStr">
        <is>
          <t>Revenue received in advance from selling E-vouchers</t>
        </is>
      </c>
      <c r="C668" s="6" t="inlineStr">
        <is>
          <t>预售电子礼券收入</t>
        </is>
      </c>
      <c r="D668" s="6" t="inlineStr">
        <is>
          <t>預售電子禮券收入</t>
        </is>
      </c>
    </row>
    <row r="669" customFormat="1" s="8">
      <c r="A669" s="6" t="inlineStr">
        <is>
          <t>Doanh thu thuần</t>
        </is>
      </c>
      <c r="B669" s="6" t="inlineStr">
        <is>
          <t>Net sales</t>
        </is>
      </c>
      <c r="C669" s="6" t="inlineStr">
        <is>
          <t>净收入</t>
        </is>
      </c>
      <c r="D669" s="6" t="inlineStr">
        <is>
          <t>淨收入</t>
        </is>
      </c>
    </row>
    <row r="670" ht="27.6" customFormat="1" customHeight="1" s="8">
      <c r="A670" s="6" t="inlineStr">
        <is>
          <t>Doanh thu thuần bán thành phẩm</t>
        </is>
      </c>
      <c r="B670" s="6" t="inlineStr">
        <is>
          <t>Net sales from selling finished goods</t>
        </is>
      </c>
      <c r="C670" s="6" t="inlineStr">
        <is>
          <t>销售制成品净收入</t>
        </is>
      </c>
      <c r="D670" s="6" t="inlineStr">
        <is>
          <t>銷售製成品淨收入</t>
        </is>
      </c>
    </row>
    <row r="671" ht="27.6" customFormat="1" customHeight="1" s="8">
      <c r="A671" s="6" t="inlineStr">
        <is>
          <t>Doanh thu thuần cung cấp dịch vụ</t>
        </is>
      </c>
      <c r="B671" s="6" t="inlineStr">
        <is>
          <t>Net sales from supplying services</t>
        </is>
      </c>
      <c r="C671" s="6" t="inlineStr">
        <is>
          <t>提供劳务净收入</t>
        </is>
      </c>
      <c r="D671" s="6" t="inlineStr">
        <is>
          <t>提供勞務淨收入</t>
        </is>
      </c>
    </row>
    <row r="672" ht="27.6" customFormat="1" customHeight="1" s="8">
      <c r="A672" s="6" t="inlineStr">
        <is>
          <t>Doanh thu thuần về bán hàng và cung cấp dịch vụ</t>
        </is>
      </c>
      <c r="B672" s="6" t="inlineStr">
        <is>
          <t>Net sales</t>
        </is>
      </c>
      <c r="C672" s="6" t="inlineStr">
        <is>
          <t>销售货物和提供劳务净收入</t>
        </is>
      </c>
      <c r="D672" s="6" t="inlineStr">
        <is>
          <t>銷售貨物及提供勞務淨收入</t>
        </is>
      </c>
    </row>
    <row r="673" customFormat="1" s="8">
      <c r="A673" s="6" t="inlineStr">
        <is>
          <t>Doanh thu và thu nhập</t>
        </is>
      </c>
      <c r="B673" s="6" t="inlineStr">
        <is>
          <t>Revenue and income</t>
        </is>
      </c>
      <c r="C673" s="6" t="inlineStr">
        <is>
          <t>营业收入与其他所得</t>
        </is>
      </c>
      <c r="D673" s="6" t="inlineStr">
        <is>
          <t>營業收入與其他所得</t>
        </is>
      </c>
    </row>
    <row r="674" customFormat="1" s="8">
      <c r="A674" s="6" t="inlineStr">
        <is>
          <t>Doanh thu xây dựng</t>
        </is>
      </c>
      <c r="B674" s="6" t="inlineStr">
        <is>
          <t>Construction contract revenue</t>
        </is>
      </c>
      <c r="C674" s="6" t="inlineStr">
        <is>
          <t>建筑工程收入</t>
        </is>
      </c>
      <c r="D674" s="6" t="inlineStr">
        <is>
          <t>建築工程收入</t>
        </is>
      </c>
    </row>
    <row r="675" ht="82.8" customFormat="1" customHeight="1" s="8">
      <c r="A675" s="6" t="inlineStr">
        <is>
          <t>Đối với các khoản mục tiền tệ có gốc ngoại tệ được phân loại là nợ phải trả: tỷ giá bán ngoại tệ của ngân hàng thương mại nơi Công ty thường xuyên có giao dịch.</t>
        </is>
      </c>
      <c r="B675" s="6" t="inlineStr">
        <is>
          <t>For monetary accounts classified as liabilities: selling exchange rate of the commercial bank where the Company regularly conducts transactions.</t>
        </is>
      </c>
      <c r="C675" s="6" t="inlineStr">
        <is>
          <t>外币货币性负债类科目：采用公司经常交易往来的商业银行公布的卖出汇率。</t>
        </is>
      </c>
      <c r="D675" s="6" t="inlineStr">
        <is>
          <t>外幣貨幣性負債類科目：採用公司經常交易往來的商業銀行公佈的賣出匯率。</t>
        </is>
      </c>
    </row>
    <row r="676" ht="82.8" customFormat="1" customHeight="1" s="8">
      <c r="A676" s="6" t="inlineStr">
        <is>
          <t>Đối với các khoản mục tiền tệ có gốc ngoại tệ được phân loại là tài sản khác: tỷ giá mua ngoại tệ của ngân hàng thương mại nơi Công ty thường xuyên có giao dịch;</t>
        </is>
      </c>
      <c r="B676" s="6" t="inlineStr">
        <is>
          <t>For monetary accounts classified as other assets: buying exchange rate of the commercial bank where the Company regularly conducts transactions;</t>
        </is>
      </c>
      <c r="C676" s="6" t="inlineStr">
        <is>
          <t>外币货币性资产类科目：采用公司经常交易往来的商业银行公布的买入汇率；</t>
        </is>
      </c>
      <c r="D676" s="6" t="inlineStr">
        <is>
          <t>外幣貨幣性資產類科目：採用公司經常交易往來的商業銀行公佈的買入匯率；</t>
        </is>
      </c>
    </row>
    <row r="677" ht="69" customFormat="1" customHeight="1" s="8">
      <c r="A677" s="6" t="inlineStr">
        <is>
          <t>Đối với các khoản ngoại tệ gửi ngân hàng: tỷ giá mua ngoại tệ của ngân hàng thương mại nơi Công ty mở tài khoản ngoại tệ;</t>
        </is>
      </c>
      <c r="B677" s="6" t="inlineStr">
        <is>
          <t>For foreign currency deposited in bank: buying exchange rates of the commercial banks where the Company opens foreign currency accounts;</t>
        </is>
      </c>
      <c r="C677" s="6" t="inlineStr">
        <is>
          <t>银行存款：采用公司开立外币账户的商业银行公布的买入汇率；</t>
        </is>
      </c>
      <c r="D677" s="6" t="inlineStr">
        <is>
          <t>銀行存款：採用公司開立外幣帳戶的商業銀行公佈的買入匯率；</t>
        </is>
      </c>
    </row>
    <row r="678" ht="69" customFormat="1" customHeight="1" s="8">
      <c r="A678" s="6" t="inlineStr">
        <is>
          <t>Đối với các khoản thu nhập khác không được ưu đãi: áp dụng thuế suất phổ thông.</t>
        </is>
      </c>
      <c r="B678" s="6" t="inlineStr">
        <is>
          <t>For other income not eligible for tax incentives: The Company is obliged to pay the corporate income tax at the standard rate.</t>
        </is>
      </c>
      <c r="C678" s="6" t="inlineStr">
        <is>
          <t>对于不得享受税收优惠的其他所得，适用普通企业所得税税率。</t>
        </is>
      </c>
      <c r="D678" s="6" t="inlineStr">
        <is>
          <t>對於不得享受稅收優惠之其他所得，適用普通企業所得稅稅率。</t>
        </is>
      </c>
    </row>
    <row r="679" ht="69" customFormat="1" customHeight="1" s="8">
      <c r="A679" s="6" t="inlineStr">
        <is>
          <t>Đối với các khoản thu nhập khác không được ưu đãi: áp dụng thuế suất thuế thu nhập doanh nghiệp 20%.</t>
        </is>
      </c>
      <c r="B679" s="6" t="inlineStr">
        <is>
          <t>For other income not eligible for tax incentives: The Company is obliged to pay the corporate income tax at the applicable rate of 20%.</t>
        </is>
      </c>
      <c r="C679" s="6" t="inlineStr">
        <is>
          <t>对于不得享受税收优惠的其他所得，按照20%税率缴纳企业所得税。</t>
        </is>
      </c>
      <c r="D679" s="6" t="inlineStr">
        <is>
          <t>對於不得享受稅收優惠之其他所得，按照20%稅率繳納企業所得稅。</t>
        </is>
      </c>
    </row>
    <row r="680" ht="69" customFormat="1" customHeight="1" s="8">
      <c r="A680" s="6" t="inlineStr">
        <is>
          <t>Đối với các khoản thu nhập khác không được ưu đãi: áp dụng thuế suất thuế thu nhập doanh nghiệp phổ thông.</t>
        </is>
      </c>
      <c r="B680" s="6" t="inlineStr">
        <is>
          <t>For other income not eligible for tax incentives: The Company is obliged to pay the corporate income tax at the standard rate.</t>
        </is>
      </c>
      <c r="C680" s="6" t="inlineStr">
        <is>
          <t>对于不得享受税收优惠的其他所得，适用普通企业所得税税率。</t>
        </is>
      </c>
      <c r="D680" s="6" t="inlineStr">
        <is>
          <t>對於不得享受稅收優惠之其他所得，適用普通企業所得稅稅率。</t>
        </is>
      </c>
    </row>
    <row r="681" ht="82.8" customFormat="1" customHeight="1" s="8">
      <c r="A681" s="6" t="inlineStr">
        <is>
          <t>Đối với các khoản thu nhập khác không được ưu đãi: áp dụng thuế suất thuế thu nhập doanh nghiệp theo quy định hiện hành.</t>
        </is>
      </c>
      <c r="B681" s="6" t="inlineStr">
        <is>
          <t>For other income not eligible for tax incentives: The Company is obliged to pay the corporate income tax at the applicable rate according to the prevailing regulations.</t>
        </is>
      </c>
      <c r="C681" s="6" t="inlineStr">
        <is>
          <t>对于不得享受税收优惠的其他所得，适用现行法规企业所得税税率。</t>
        </is>
      </c>
      <c r="D681" s="6" t="inlineStr">
        <is>
          <t>對於不得享受稅收優惠之其他所得，適用現行法規企業所得稅稅率。</t>
        </is>
      </c>
    </row>
    <row r="682" ht="55.2" customFormat="1" customHeight="1" s="8">
      <c r="A682" s="6" t="inlineStr">
        <is>
          <t>Đối với các khoản thu nhập khác: áp dụng thuế suất thuế thu nhập doanh nghiệp là 20%.</t>
        </is>
      </c>
      <c r="B682" s="6" t="inlineStr">
        <is>
          <t>For other income: The Company is obliged to pay the corporate income tax at the applicable rate of 20%.</t>
        </is>
      </c>
      <c r="C682" s="6" t="inlineStr">
        <is>
          <t>对于其他所得，按照20% 的企业所得税税率计征。</t>
        </is>
      </c>
      <c r="D682" s="6" t="inlineStr">
        <is>
          <t>對於其他所得，按照20% 的企業所得稅稅率計征。</t>
        </is>
      </c>
    </row>
    <row r="683" ht="41.4" customFormat="1" customHeight="1" s="8">
      <c r="A683" s="6" t="inlineStr">
        <is>
          <t>Đơn vị tiền tệ được sử dụng chính thức trong kế toán là Đô La Mỹ (USD).</t>
        </is>
      </c>
      <c r="B683" s="6" t="inlineStr">
        <is>
          <t>Currency officially used in bookkeeping is US Dollar (USD).</t>
        </is>
      </c>
      <c r="C683" s="6" t="inlineStr">
        <is>
          <t>公司正式采用的会计本位币是美元（USD）</t>
        </is>
      </c>
      <c r="D683" s="6" t="inlineStr">
        <is>
          <t>公司正式採用之會計本位幣為美元（USD）。</t>
        </is>
      </c>
    </row>
    <row r="684" ht="41.4" customFormat="1" customHeight="1" s="8">
      <c r="A684" s="6" t="inlineStr">
        <is>
          <t>Đơn vị tiền tệ được sử dụng chính thức trong kế toán là Đồng Việt Nam (VND).</t>
        </is>
      </c>
      <c r="B684" s="6" t="inlineStr">
        <is>
          <t>Currency officially used in bookkeeping is Vietnamese Dong (VND).</t>
        </is>
      </c>
      <c r="C684" s="6" t="inlineStr">
        <is>
          <t>公司正式采用的会计本位币是越南盾（VND）。</t>
        </is>
      </c>
      <c r="D684" s="6" t="inlineStr">
        <is>
          <t>公司正式採用之會計本位幣是越南盾（VND）。</t>
        </is>
      </c>
    </row>
    <row r="685" ht="27.6" customFormat="1" customHeight="1" s="8">
      <c r="A685" s="6" t="inlineStr">
        <is>
          <t>Đơn vị tiền tệ sử dụng trong kế toán</t>
        </is>
      </c>
      <c r="B685" s="6" t="inlineStr">
        <is>
          <t>Currency</t>
        </is>
      </c>
      <c r="C685" s="6" t="inlineStr">
        <is>
          <t>会计本位币</t>
        </is>
      </c>
      <c r="D685" s="6" t="inlineStr">
        <is>
          <t>會計本位幣</t>
        </is>
      </c>
    </row>
    <row r="686" customFormat="1" s="8">
      <c r="A686" s="6" t="inlineStr">
        <is>
          <t>Đơn vị tính: USD</t>
        </is>
      </c>
      <c r="B686" s="6" t="inlineStr">
        <is>
          <t>Currency: USD</t>
        </is>
      </c>
      <c r="C686" s="6" t="inlineStr">
        <is>
          <t>单位：美元</t>
        </is>
      </c>
      <c r="D686" s="6" t="inlineStr">
        <is>
          <t>單位：美元</t>
        </is>
      </c>
    </row>
    <row r="687" customFormat="1" s="8">
      <c r="A687" s="6" t="inlineStr">
        <is>
          <t>Đơn vị tính: VND</t>
        </is>
      </c>
      <c r="B687" s="6" t="inlineStr">
        <is>
          <t>Currency: VND</t>
        </is>
      </c>
      <c r="C687" s="6" t="inlineStr">
        <is>
          <t>单位：越南盾</t>
        </is>
      </c>
      <c r="D687" s="6" t="inlineStr">
        <is>
          <t>單位：越南盾</t>
        </is>
      </c>
    </row>
    <row r="688" customFormat="1" s="8">
      <c r="A688" s="6" t="inlineStr">
        <is>
          <t>Đồng tiền cho vay</t>
        </is>
      </c>
      <c r="B688" s="6" t="inlineStr">
        <is>
          <t>Currency</t>
        </is>
      </c>
      <c r="C688" s="6" t="inlineStr">
        <is>
          <t>贷款币别</t>
        </is>
      </c>
      <c r="D688" s="6" t="inlineStr">
        <is>
          <t>貸款幣別</t>
        </is>
      </c>
    </row>
    <row r="689" customFormat="1" s="8">
      <c r="A689" s="6" t="inlineStr">
        <is>
          <t>Dự án đầu tư ban đầu</t>
        </is>
      </c>
      <c r="B689" s="6" t="inlineStr">
        <is>
          <t>Initial investment project</t>
        </is>
      </c>
      <c r="C689" s="6" t="inlineStr">
        <is>
          <t>初始投资项目</t>
        </is>
      </c>
      <c r="D689" s="6" t="inlineStr">
        <is>
          <t>初始投資項目</t>
        </is>
      </c>
    </row>
    <row r="690" customFormat="1" s="8">
      <c r="A690" s="6" t="inlineStr">
        <is>
          <t>Dự án đầu tư mở rộng</t>
        </is>
      </c>
      <c r="B690" s="6" t="inlineStr">
        <is>
          <t>Expansion investment project</t>
        </is>
      </c>
      <c r="C690" s="6" t="inlineStr">
        <is>
          <t>扩建投资项目</t>
        </is>
      </c>
      <c r="D690" s="6" t="inlineStr">
        <is>
          <t>擴建投資項目</t>
        </is>
      </c>
    </row>
    <row r="691" ht="27.6" customFormat="1" customHeight="1" s="8">
      <c r="A691" s="6" t="inlineStr">
        <is>
          <t>Dự phòng đầu tư tài chính dài hạn</t>
        </is>
      </c>
      <c r="B691" s="6" t="inlineStr">
        <is>
          <t>Provision for long-term financial investments</t>
        </is>
      </c>
      <c r="C691" s="6" t="inlineStr">
        <is>
          <t>长期金融性投资减值准备</t>
        </is>
      </c>
      <c r="D691" s="6" t="inlineStr">
        <is>
          <t>長期金融性投資減值準備</t>
        </is>
      </c>
    </row>
    <row r="692" ht="27.6" customFormat="1" customHeight="1" s="8">
      <c r="A692" s="6" t="inlineStr">
        <is>
          <t>Dự phòng giảm giá chứng khoán kinh doanh</t>
        </is>
      </c>
      <c r="B692" s="6" t="inlineStr">
        <is>
          <t>Provisions for decrease in value of trading securities</t>
        </is>
      </c>
      <c r="C692" s="6" t="inlineStr">
        <is>
          <t>交易性证劵跌价损失准备</t>
        </is>
      </c>
      <c r="D692" s="6" t="inlineStr">
        <is>
          <t>交易性證券跌價損失準備</t>
        </is>
      </c>
    </row>
    <row r="693" ht="27.6" customFormat="1" customHeight="1" s="8">
      <c r="A693" s="6" t="inlineStr">
        <is>
          <t>Dự phòng giảm giá hàng tồn kho</t>
        </is>
      </c>
      <c r="B693" s="6" t="inlineStr">
        <is>
          <t>Provision for devaluation of inventory</t>
        </is>
      </c>
      <c r="C693" s="6" t="inlineStr">
        <is>
          <t>存货跌价损失准备</t>
        </is>
      </c>
      <c r="D693" s="6" t="inlineStr">
        <is>
          <t>存貨跌價損失準備</t>
        </is>
      </c>
    </row>
    <row r="694" customFormat="1" s="8">
      <c r="A694" s="6" t="inlineStr">
        <is>
          <t>Dự phòng nợ phải thu khó đòi</t>
        </is>
      </c>
      <c r="B694" s="6" t="inlineStr">
        <is>
          <t>Provision for doubtful debts</t>
        </is>
      </c>
      <c r="C694" s="6" t="inlineStr">
        <is>
          <t>坏帐准备金（备抵坏帐）</t>
        </is>
      </c>
      <c r="D694" s="6" t="inlineStr">
        <is>
          <t>壞帳準備金（備抵壞帳）</t>
        </is>
      </c>
    </row>
    <row r="695" ht="27.6" customFormat="1" customHeight="1" s="8">
      <c r="A695" s="6" t="inlineStr">
        <is>
          <t>Dự phòng phải thu dài hạn khó đòi</t>
        </is>
      </c>
      <c r="B695" s="6" t="inlineStr">
        <is>
          <t>Provision for long-term doubtful debts</t>
        </is>
      </c>
      <c r="C695" s="6" t="inlineStr">
        <is>
          <t>长期坏账准备（备抵呆账）</t>
        </is>
      </c>
      <c r="D695" s="6" t="inlineStr">
        <is>
          <t>長期壞帳準備（備抵呆帳）</t>
        </is>
      </c>
    </row>
    <row r="696" ht="27.6" customFormat="1" customHeight="1" s="8">
      <c r="A696" s="6" t="inlineStr">
        <is>
          <t>Dự phòng phải thu khó đòi dài hạn</t>
        </is>
      </c>
      <c r="B696" s="6" t="inlineStr">
        <is>
          <t>Provision for long-term doubtful debts</t>
        </is>
      </c>
      <c r="C696" s="6" t="inlineStr">
        <is>
          <t>长期坏帐准备（备抵呆帐）</t>
        </is>
      </c>
      <c r="D696" s="6" t="inlineStr">
        <is>
          <t>長期壞帳準備（備抵呆帳）</t>
        </is>
      </c>
    </row>
    <row r="697" ht="27.6" customFormat="1" customHeight="1" s="8">
      <c r="A697" s="6" t="inlineStr">
        <is>
          <t>Dự phòng phải thu khó đòi ngắn hạn</t>
        </is>
      </c>
      <c r="B697" s="6" t="inlineStr">
        <is>
          <t>Provision for short-term doubtful debts</t>
        </is>
      </c>
      <c r="C697" s="6" t="inlineStr">
        <is>
          <t>短期坏帐准备（备抵呆帐）</t>
        </is>
      </c>
      <c r="D697" s="6" t="inlineStr">
        <is>
          <t>短期壞帳準備（備抵呆帳）</t>
        </is>
      </c>
    </row>
    <row r="698" ht="27.6" customFormat="1" customHeight="1" s="8">
      <c r="A698" s="6" t="inlineStr">
        <is>
          <t>Dự phòng phải thu khó đòi ngắn hạn, dài hạn</t>
        </is>
      </c>
      <c r="B698" s="6" t="inlineStr">
        <is>
          <t>Provision for short-term and long-term doubtful debts</t>
        </is>
      </c>
      <c r="C698" s="6" t="inlineStr">
        <is>
          <t>短期/长期坏帐准备（备抵呆帐）</t>
        </is>
      </c>
      <c r="D698" s="6" t="inlineStr">
        <is>
          <t>短期/長期壞帳準備（備抵呆帳）</t>
        </is>
      </c>
    </row>
    <row r="699" customFormat="1" s="8">
      <c r="A699" s="6" t="inlineStr">
        <is>
          <t>Dự phòng phải trả</t>
        </is>
      </c>
      <c r="B699" s="6" t="inlineStr">
        <is>
          <t>Provision for liabilities</t>
        </is>
      </c>
      <c r="C699" s="6" t="inlineStr">
        <is>
          <t>负债准备</t>
        </is>
      </c>
      <c r="D699" s="6" t="inlineStr">
        <is>
          <t>負債准備</t>
        </is>
      </c>
    </row>
    <row r="700" ht="27.6" customFormat="1" customHeight="1" s="8">
      <c r="A700" s="6" t="inlineStr">
        <is>
          <t>Dự phòng phải trả dài hạn</t>
        </is>
      </c>
      <c r="B700" s="6" t="inlineStr">
        <is>
          <t>Provision for long-term liabilities</t>
        </is>
      </c>
      <c r="C700" s="6" t="inlineStr">
        <is>
          <t>长期负债准备</t>
        </is>
      </c>
      <c r="D700" s="6" t="inlineStr">
        <is>
          <t>長期負債準備</t>
        </is>
      </c>
    </row>
    <row r="701" ht="27.6" customFormat="1" customHeight="1" s="8">
      <c r="A701" s="6" t="inlineStr">
        <is>
          <t>Dự phòng phải trả ngắn hạn</t>
        </is>
      </c>
      <c r="B701" s="6" t="inlineStr">
        <is>
          <t>Provision for short-term liabilities</t>
        </is>
      </c>
      <c r="C701" s="6" t="inlineStr">
        <is>
          <t>短期负债准备</t>
        </is>
      </c>
      <c r="D701" s="6" t="inlineStr">
        <is>
          <t>短期負債準備</t>
        </is>
      </c>
    </row>
    <row r="702" ht="138" customFormat="1" customHeight="1" s="8">
      <c r="A702" s="6" t="inlineStr">
        <is>
          <t>Dự phòng tổn thất cho các khoản đầu tư vào công cụ vốn của đơn vị khác được trích lập căn cứ vào giá trị thị trường của cổ phần hoặc khoản lỗ của bên được đầu tư, ngoại trừ khoản lỗ đó nằm trong dự kiến của Công ty khi quyết định đầu tư.</t>
        </is>
      </c>
      <c r="B702" s="6" t="inlineStr">
        <is>
          <t>Provision for impairment of investments in equity instruments of other units is provided basing on the market value of shares or the losses suffered by the invested party, with the exception that the losses have been anticipated by the Company when making decision on investment.</t>
        </is>
      </c>
      <c r="C702" s="6" t="inlineStr">
        <is>
          <t>投资其他单位的权益工具的投资跌价损失准备，应按股份市价或投资者的投资损失得以预提，除非该损失处于公司决定投资时的预估范围之内。</t>
        </is>
      </c>
      <c r="D702" s="6" t="inlineStr">
        <is>
          <t>投資其他單位的權益工具之投資跌價損失準備，應按股份市價或投資者的投資損失得以預提，除非該損失處於公司決定投資時的預估範圍之內。</t>
        </is>
      </c>
    </row>
    <row r="703" ht="110.4" customFormat="1" customHeight="1" s="8">
      <c r="A703" s="6" t="inlineStr">
        <is>
          <t>Dự phòng tổn thất cho các khoản đầu tư vào công ty con được trích lập khi công ty con bị lỗ ngoại trừ khoản lỗ đó nằm trong dự kiến của Công ty khi quyết định đầu tư.</t>
        </is>
      </c>
      <c r="B703" s="6" t="inlineStr">
        <is>
          <t>Provision for impairment of investments in subsidiaries is provided when the subsidiaries suffer losses with the exception that the losses have been anticipated by the Company when making decision on investment.</t>
        </is>
      </c>
      <c r="C703" s="6" t="inlineStr">
        <is>
          <t>投资子公司的投资损失准备，应在子公司经营亏损时得以预提，除非该亏损处于公司决定投资时的预估范围之内。</t>
        </is>
      </c>
      <c r="D703" s="6" t="inlineStr">
        <is>
          <t>投資子公司之投資損失準備，應在子公司經營虧損時得以預提，除非該虧損處於公司決定投資時的預估範圍之內。</t>
        </is>
      </c>
    </row>
    <row r="704" ht="138" customFormat="1" customHeight="1" s="8">
      <c r="A704" s="6" t="inlineStr">
        <is>
          <t>Dự phòng tổn thất cho các khoản đầu tư vào công ty con, công ty liên doanh, liên kết được trích lập khi công ty con, công ty liên doanh, liên kết bị lỗ ngoại trừ khoản lỗ đó nằm trong dự kiến của Công ty khi quyết định đầu tư.</t>
        </is>
      </c>
      <c r="B704" s="6" t="inlineStr">
        <is>
          <t>Provision for impairment of investments in subsidiaries, joint ventures, associates is provided when the subsidiaries, joint ventures, associates suffer losses with the exception that the losses have been anticipated by the Company when making decision on investment.</t>
        </is>
      </c>
      <c r="C704" s="6" t="inlineStr">
        <is>
          <t>投资子公司或投资关联企业及合资的投资损失准备，应在子公司、关联企业或合资企业、联营公司经营亏损时得以预提，除非该亏损处于公司决定投资时的预估范围之内。</t>
        </is>
      </c>
      <c r="D704" s="6" t="inlineStr">
        <is>
          <t>投資子公司或投資關聯企業及合資之投資損失準備，應在子公司、關聯企業或合資企業、聯營公司經營虧損時得以預提，除非該虧損處於公司決定投資時的預估範圍之內。</t>
        </is>
      </c>
    </row>
    <row r="705" customFormat="1" s="8">
      <c r="A705" s="6" t="inlineStr">
        <is>
          <t>Dự phòng trích</t>
        </is>
      </c>
      <c r="B705" s="6" t="inlineStr">
        <is>
          <t>Accruals</t>
        </is>
      </c>
      <c r="C705" s="6" t="inlineStr">
        <is>
          <t>计提数</t>
        </is>
      </c>
      <c r="D705" s="6" t="inlineStr">
        <is>
          <t>計提數</t>
        </is>
      </c>
    </row>
    <row r="706" ht="27.6" customFormat="1" customHeight="1" s="8">
      <c r="A706" s="6" t="inlineStr">
        <is>
          <t>Dự phòng trợ cấp mất việc làm</t>
        </is>
      </c>
      <c r="B706" s="6" t="inlineStr">
        <is>
          <t>Provision for severance allowances</t>
        </is>
      </c>
      <c r="C706" s="6" t="inlineStr">
        <is>
          <t>遣散补偿准备</t>
        </is>
      </c>
      <c r="D706" s="6" t="inlineStr">
        <is>
          <t>遣散補償準備</t>
        </is>
      </c>
    </row>
    <row r="707" ht="27.6" customFormat="1" customHeight="1" s="8">
      <c r="A707" s="6" t="inlineStr">
        <is>
          <t>Dự phòng trợ cấp thôi việc</t>
        </is>
      </c>
      <c r="B707" s="6" t="inlineStr">
        <is>
          <t>Provision for severance allowances</t>
        </is>
      </c>
      <c r="C707" s="6" t="inlineStr">
        <is>
          <t>资遣费准备金</t>
        </is>
      </c>
      <c r="D707" s="6" t="inlineStr">
        <is>
          <t>資遣費準備金</t>
        </is>
      </c>
    </row>
    <row r="708" ht="27.6" customFormat="1" customHeight="1" s="8">
      <c r="A708" s="6" t="inlineStr">
        <is>
          <t>Dự phòng trợ cấp thôi việc phải trả</t>
        </is>
      </c>
      <c r="B708" s="6" t="inlineStr">
        <is>
          <t>Provision for severance allowances payable</t>
        </is>
      </c>
      <c r="C708" s="6" t="inlineStr">
        <is>
          <t>应付资遣费准备金</t>
        </is>
      </c>
      <c r="D708" s="6" t="inlineStr">
        <is>
          <t>應付資遣費準備金</t>
        </is>
      </c>
    </row>
    <row r="709" ht="41.4" customFormat="1" customHeight="1" s="8">
      <c r="A709" s="6" t="inlineStr">
        <is>
          <t>Đưa ra các phán đoán và ước tính một cách hợp lý và thận trọng;</t>
        </is>
      </c>
      <c r="B709" s="7" t="inlineStr">
        <is>
          <t>Make judgments and estimates that are reasonable and prudent;</t>
        </is>
      </c>
      <c r="C709" s="6" t="inlineStr">
        <is>
          <t>客观并谨慎地提出判断及估计；</t>
        </is>
      </c>
      <c r="D709" s="6" t="inlineStr">
        <is>
          <t>客觀並謹慎地提出判斷及估計；</t>
        </is>
      </c>
    </row>
    <row r="710" customFormat="1" s="8">
      <c r="A710" s="6" t="inlineStr">
        <is>
          <t>Dưới 1 năm</t>
        </is>
      </c>
      <c r="B710" s="6" t="inlineStr">
        <is>
          <t>Under 01 year</t>
        </is>
      </c>
      <c r="C710" s="6" t="inlineStr">
        <is>
          <t>一年以下</t>
        </is>
      </c>
      <c r="D710" s="6" t="inlineStr">
        <is>
          <t>一年以下</t>
        </is>
      </c>
    </row>
    <row r="711" customFormat="1" s="8">
      <c r="A711" s="6" t="inlineStr">
        <is>
          <t>Giá trị</t>
        </is>
      </c>
      <c r="B711" s="6" t="inlineStr">
        <is>
          <t>Amount</t>
        </is>
      </c>
      <c r="C711" s="6" t="inlineStr">
        <is>
          <t>金额</t>
        </is>
      </c>
      <c r="D711" s="6" t="inlineStr">
        <is>
          <t>金額</t>
        </is>
      </c>
    </row>
    <row r="712" customFormat="1" s="8">
      <c r="A712" s="6" t="inlineStr">
        <is>
          <t>Giá trị còn lại</t>
        </is>
      </c>
      <c r="B712" s="6" t="inlineStr">
        <is>
          <t>Carrying amount</t>
        </is>
      </c>
      <c r="C712" s="6" t="inlineStr">
        <is>
          <t>折余价值</t>
        </is>
      </c>
      <c r="D712" s="6" t="inlineStr">
        <is>
          <t>折餘價值</t>
        </is>
      </c>
    </row>
    <row r="713" ht="55.2" customFormat="1" customHeight="1" s="8">
      <c r="A713" s="6" t="inlineStr">
        <is>
          <t>Giá trị còn lại cuối năm của tài sản cố định hữu hình đã dùng để thế chấp, cầm cố đảm bảo cho các khoản vay:</t>
        </is>
      </c>
      <c r="B713" s="6" t="inlineStr">
        <is>
          <t>Carrying amount of tangible fixed assets which were pledged and mortgaged for the borrowings:</t>
        </is>
      </c>
      <c r="C713" s="6" t="inlineStr">
        <is>
          <t>作为贷款抵押、质押保证的有形固定资产剩余价值：</t>
        </is>
      </c>
      <c r="D713" s="6" t="inlineStr">
        <is>
          <t>作為貸款抵押、質押保證之有形固定資產剩餘價值：</t>
        </is>
      </c>
    </row>
    <row r="714" ht="55.2" customFormat="1" customHeight="1" s="8">
      <c r="A714" s="6" t="inlineStr">
        <is>
          <t>Giá trị còn lại cuối năm của tài sản cố định vô hình đã dùng để thế chấp, cầm cố đảm bảo cho các khoản vay</t>
        </is>
      </c>
      <c r="B714" s="6" t="inlineStr">
        <is>
          <t>Carrying amount of intangible fixed assets which were pledged and mortgaged for the borrowings</t>
        </is>
      </c>
      <c r="C714" s="6" t="inlineStr">
        <is>
          <t>作为贷款抵押、质押保证的无形固定资产剩余价值：</t>
        </is>
      </c>
      <c r="D714" s="6" t="inlineStr">
        <is>
          <t>作為貸款抵押、質押保證的無形固定資產剩餘價值</t>
        </is>
      </c>
    </row>
    <row r="715" ht="41.4" customFormat="1" customHeight="1" s="8">
      <c r="A715" s="6" t="inlineStr">
        <is>
          <t>Giá trị ghi sổ của hàng tồn kho dùng để thế chấp, cầm cố đảm bảo cho các khoản nợ phải trả</t>
        </is>
      </c>
      <c r="B715" s="6" t="inlineStr">
        <is>
          <t>Book value of inventories collated, mortgaged for liabilities</t>
        </is>
      </c>
      <c r="C715" s="6" t="inlineStr">
        <is>
          <t>作为各项应付债款抵押、质押保证的存货账面价值为</t>
        </is>
      </c>
      <c r="D715" s="6" t="inlineStr">
        <is>
          <t>作為各項應付債款抵押、質押保證之存貨帳面價值為</t>
        </is>
      </c>
    </row>
    <row r="716" ht="41.4" customFormat="1" customHeight="1" s="8">
      <c r="A716" s="6" t="inlineStr">
        <is>
          <t>Giá trị hàng tồn kho được tính theo phương pháp bình quân gia quyền.</t>
        </is>
      </c>
      <c r="B716" s="6" t="inlineStr">
        <is>
          <t>Inventories are calculated using the weighted average cost method.</t>
        </is>
      </c>
      <c r="C716" s="6" t="inlineStr">
        <is>
          <t>存货以加权平均法计价。</t>
        </is>
      </c>
      <c r="D716" s="6" t="inlineStr">
        <is>
          <t>存貨以加權平均法計價。</t>
        </is>
      </c>
    </row>
    <row r="717" ht="41.4" customFormat="1" customHeight="1" s="8">
      <c r="A717" s="6" t="inlineStr">
        <is>
          <t>Giá trị hàng tồn kho được tính theo phương pháp nhập trước, xuất trước.</t>
        </is>
      </c>
      <c r="B717" s="6" t="inlineStr">
        <is>
          <t>Inventories are calculated using the first in - first out method.</t>
        </is>
      </c>
      <c r="C717" s="6" t="inlineStr">
        <is>
          <t>存货以先进先出法计价。</t>
        </is>
      </c>
      <c r="D717" s="6" t="inlineStr">
        <is>
          <t>存貨以先進先出法計價。</t>
        </is>
      </c>
    </row>
    <row r="718" ht="41.4" customFormat="1" customHeight="1" s="8">
      <c r="A718" s="6" t="inlineStr">
        <is>
          <t>Giá trị hàng tồn kho ứ động, kém, mất phẩm chất không có khả năng tiêu thụ</t>
        </is>
      </c>
      <c r="B718" s="6" t="inlineStr">
        <is>
          <t>Value of inventories stagnant, poor or deteriorative in quality, which are unable to consume</t>
        </is>
      </c>
      <c r="C718" s="6" t="inlineStr">
        <is>
          <t>呆滞、劣质或无法销售的库存物品价值为</t>
        </is>
      </c>
      <c r="D718" s="6" t="inlineStr">
        <is>
          <t>呆滯、劣質或無法銷售之庫存物品價值為</t>
        </is>
      </c>
    </row>
    <row r="719" customFormat="1" s="8">
      <c r="A719" s="6" t="inlineStr">
        <is>
          <t>Giá trị hao mòn</t>
        </is>
      </c>
      <c r="B719" s="6" t="inlineStr">
        <is>
          <t>Depreciation</t>
        </is>
      </c>
      <c r="C719" s="6" t="inlineStr">
        <is>
          <t>累计折旧值</t>
        </is>
      </c>
      <c r="D719" s="6" t="inlineStr">
        <is>
          <t>累計折舊值</t>
        </is>
      </c>
    </row>
    <row r="720" ht="27.6" customFormat="1" customHeight="1" s="8">
      <c r="A720" s="6" t="inlineStr">
        <is>
          <t>Giá trị hao mòn luỹ kế</t>
        </is>
      </c>
      <c r="B720" s="6" t="inlineStr">
        <is>
          <t>Accumulated depreciation-chọn-Accumulated amortisation</t>
        </is>
      </c>
      <c r="C720" s="6" t="inlineStr">
        <is>
          <t>累计折旧</t>
        </is>
      </c>
      <c r="D720" s="6" t="inlineStr">
        <is>
          <t>累計折舊</t>
        </is>
      </c>
    </row>
    <row r="721" ht="82.8" customFormat="1" customHeight="1" s="8">
      <c r="A721" s="6" t="inlineStr">
        <is>
          <t>Giá trị hợp lý là giá trị mà một tài sản có thể được trao đổi, một khoản nợ có thể được thanh toán một cách tự nguyện giữa các bên có đầy đủ sự hiểu biết trong sự trao đổi ngang giá.</t>
        </is>
      </c>
      <c r="B721" s="6" t="inlineStr">
        <is>
          <t>Fair value is the value where an asset could be exchanged, a liability could be settled on a voluntary basis amongst parties with full of knowledgeableness in an arm’s length transaction.</t>
        </is>
      </c>
      <c r="C721" s="6" t="inlineStr">
        <is>
          <t>公允价值是指在充分知情的各方自愿进行公平（正常）交易的情况下，资产可以交换或负债可以结算的价值。</t>
        </is>
      </c>
      <c r="D721" s="6" t="inlineStr">
        <is>
          <t>公允價值是指在充分知情的各方自願進行公平（正常）交易之情況下，資產可以交換或負債可以結算的價值。</t>
        </is>
      </c>
    </row>
    <row r="722" customFormat="1" s="8">
      <c r="A722" s="6" t="inlineStr">
        <is>
          <t>Giá trị khấu hao</t>
        </is>
      </c>
      <c r="B722" s="6" t="inlineStr">
        <is>
          <t>Depreciation-chọn-Amortisation</t>
        </is>
      </c>
      <c r="C722" s="6" t="inlineStr">
        <is>
          <t>累计折旧值</t>
        </is>
      </c>
      <c r="D722" s="6" t="inlineStr">
        <is>
          <t>累計折舊值</t>
        </is>
      </c>
    </row>
    <row r="723" customFormat="1" s="8">
      <c r="A723" s="6" t="inlineStr">
        <is>
          <t>Giá trị nợ đã xử lý</t>
        </is>
      </c>
      <c r="B723" s="6" t="inlineStr">
        <is>
          <t>Amount written off</t>
        </is>
      </c>
      <c r="C723" s="6" t="inlineStr">
        <is>
          <t>已冲销坏帐金额</t>
        </is>
      </c>
      <c r="D723" s="6" t="inlineStr">
        <is>
          <t>已沖銷壞帳金額</t>
        </is>
      </c>
    </row>
    <row r="724" customFormat="1" s="8">
      <c r="A724" s="6" t="inlineStr">
        <is>
          <t>Giá trị thuần</t>
        </is>
      </c>
      <c r="B724" s="6" t="inlineStr">
        <is>
          <t>Net value</t>
        </is>
      </c>
      <c r="C724" s="6" t="inlineStr">
        <is>
          <t>净值</t>
        </is>
      </c>
      <c r="D724" s="6" t="inlineStr">
        <is>
          <t>淨值</t>
        </is>
      </c>
    </row>
    <row r="725" customFormat="1" s="8">
      <c r="A725" s="6" t="inlineStr">
        <is>
          <t>Giá vốn dịch vụ đã cung cấp</t>
        </is>
      </c>
      <c r="B725" s="6" t="inlineStr">
        <is>
          <t>Cost of services supplied</t>
        </is>
      </c>
      <c r="C725" s="6" t="inlineStr">
        <is>
          <t>已提供劳务成本</t>
        </is>
      </c>
      <c r="D725" s="6" t="inlineStr">
        <is>
          <t>已提供勞務成本</t>
        </is>
      </c>
    </row>
    <row r="726" ht="27.6" customFormat="1" customHeight="1" s="8">
      <c r="A726" s="6" t="inlineStr">
        <is>
          <t>Giá vốn của dịch vụ đã cung cấp</t>
        </is>
      </c>
      <c r="B726" s="6" t="inlineStr">
        <is>
          <t>Cost of services supplied</t>
        </is>
      </c>
      <c r="C726" s="6" t="inlineStr">
        <is>
          <t>已提供劳务成本</t>
        </is>
      </c>
      <c r="D726" s="6" t="inlineStr">
        <is>
          <t>已提供勞務成本</t>
        </is>
      </c>
    </row>
    <row r="727" ht="27.6" customFormat="1" customHeight="1" s="8">
      <c r="A727" s="6" t="inlineStr">
        <is>
          <t>Giá vốn của dịch vụ gia công đã cung cấp</t>
        </is>
      </c>
      <c r="B727" s="6" t="inlineStr">
        <is>
          <t>Cost of processing supplied</t>
        </is>
      </c>
      <c r="C727" s="6" t="inlineStr">
        <is>
          <t>已提供加工劳务的成本</t>
        </is>
      </c>
      <c r="D727" s="6" t="inlineStr">
        <is>
          <t>已提供加工勞務之成本</t>
        </is>
      </c>
    </row>
    <row r="728" customFormat="1" s="8">
      <c r="A728" s="6" t="inlineStr">
        <is>
          <t>Giá vốn của hàng hóa đã bán</t>
        </is>
      </c>
      <c r="B728" s="6" t="inlineStr">
        <is>
          <t>Cost of goods sold</t>
        </is>
      </c>
      <c r="C728" s="6" t="inlineStr">
        <is>
          <t>已售商品成本</t>
        </is>
      </c>
      <c r="D728" s="6" t="inlineStr">
        <is>
          <t>已售商品成本</t>
        </is>
      </c>
    </row>
    <row r="729" ht="27.6" customFormat="1" customHeight="1" s="8">
      <c r="A729" s="6" t="inlineStr">
        <is>
          <t>Giá vốn của hàng hóa đã bán và dịch vụ đã cung cấp</t>
        </is>
      </c>
      <c r="B729" s="6" t="inlineStr">
        <is>
          <t>Cost of goods sold and services supplied</t>
        </is>
      </c>
      <c r="C729" s="6" t="inlineStr">
        <is>
          <t>已售商品和已提供劳务成本</t>
        </is>
      </c>
      <c r="D729" s="6" t="inlineStr">
        <is>
          <t>已售商品和已提供勞務成本</t>
        </is>
      </c>
    </row>
    <row r="730" ht="27.6" customFormat="1" customHeight="1" s="8">
      <c r="A730" s="6" t="inlineStr">
        <is>
          <t>Giá vốn của hàng hóa đã bán, dịch vụ đã cung cấp</t>
        </is>
      </c>
      <c r="B730" s="6" t="inlineStr">
        <is>
          <t>Cost of goods sold and services supplied</t>
        </is>
      </c>
      <c r="C730" s="6" t="inlineStr">
        <is>
          <t>已售商品和已提供劳务成本</t>
        </is>
      </c>
      <c r="D730" s="6" t="inlineStr">
        <is>
          <t>已售商品及已提供勞務成本</t>
        </is>
      </c>
    </row>
    <row r="731" customFormat="1" s="8">
      <c r="A731" s="6" t="inlineStr">
        <is>
          <t>Giá vốn của thành phẩm</t>
        </is>
      </c>
      <c r="B731" s="6" t="inlineStr">
        <is>
          <t>Cost of finished goods sold</t>
        </is>
      </c>
      <c r="C731" s="6" t="inlineStr">
        <is>
          <t>制成品成本</t>
        </is>
      </c>
      <c r="D731" s="6" t="inlineStr">
        <is>
          <t>製成品成本</t>
        </is>
      </c>
    </row>
    <row r="732" customFormat="1" s="8">
      <c r="A732" s="6" t="inlineStr">
        <is>
          <t>Giá vốn của thành phẩm đã bán</t>
        </is>
      </c>
      <c r="B732" s="6" t="inlineStr">
        <is>
          <t>Cost of finished goods sold</t>
        </is>
      </c>
      <c r="C732" s="6" t="inlineStr">
        <is>
          <t>已售制成品成本</t>
        </is>
      </c>
      <c r="D732" s="6" t="inlineStr">
        <is>
          <t>已售製成品成本</t>
        </is>
      </c>
    </row>
    <row r="733" ht="27.6" customFormat="1" customHeight="1" s="8">
      <c r="A733" s="6" t="inlineStr">
        <is>
          <t>Giá vốn của thành phẩm đã bán và dịch vụ đã cung cấp</t>
        </is>
      </c>
      <c r="B733" s="6" t="inlineStr">
        <is>
          <t>Cost of finished goods sold and services supplied</t>
        </is>
      </c>
      <c r="C733" s="6" t="inlineStr">
        <is>
          <t>已售制成品成本和已提供劳务成本</t>
        </is>
      </c>
      <c r="D733" s="6" t="inlineStr">
        <is>
          <t>已售製成品成本和已提供勞務成本</t>
        </is>
      </c>
    </row>
    <row r="734" ht="27.6" customFormat="1" customHeight="1" s="8">
      <c r="A734" s="6" t="inlineStr">
        <is>
          <t>Giá vốn của thành phẩm, hàng hóa đã bán</t>
        </is>
      </c>
      <c r="B734" s="6" t="inlineStr">
        <is>
          <t>Cost of finished goods and goods sold</t>
        </is>
      </c>
      <c r="C734" s="6" t="inlineStr">
        <is>
          <t>已销售制成品、商品的成本</t>
        </is>
      </c>
      <c r="D734" s="6" t="inlineStr">
        <is>
          <t>已銷售製成品、商品之成本</t>
        </is>
      </c>
    </row>
    <row r="735" customFormat="1" s="8">
      <c r="A735" s="6" t="inlineStr">
        <is>
          <t>Giá vốn gia công</t>
        </is>
      </c>
      <c r="B735" s="6" t="inlineStr">
        <is>
          <t>Cost of processing supplied</t>
        </is>
      </c>
      <c r="C735" s="6" t="inlineStr">
        <is>
          <t>加工成本</t>
        </is>
      </c>
      <c r="D735" s="6" t="inlineStr">
        <is>
          <t>加工成本</t>
        </is>
      </c>
    </row>
    <row r="736" customFormat="1" s="8">
      <c r="A736" s="6" t="inlineStr">
        <is>
          <t>Giá vốn hàng bán</t>
        </is>
      </c>
      <c r="B736" s="6" t="inlineStr">
        <is>
          <t>Cost of sales</t>
        </is>
      </c>
      <c r="C736" s="6" t="inlineStr">
        <is>
          <t>销货成本</t>
        </is>
      </c>
      <c r="D736" s="6" t="inlineStr">
        <is>
          <t>銷貨成本</t>
        </is>
      </c>
    </row>
    <row r="737" ht="27.6" customFormat="1" customHeight="1" s="8">
      <c r="A737" s="6" t="inlineStr">
        <is>
          <t>Giá vốn hàng bán và dịch vụ gia công</t>
        </is>
      </c>
      <c r="B737" s="6" t="inlineStr">
        <is>
          <t>Cost of goods sold and processing services supplied</t>
        </is>
      </c>
      <c r="C737" s="6" t="inlineStr">
        <is>
          <t>销售成本和加工服务费</t>
        </is>
      </c>
      <c r="D737" s="6" t="inlineStr">
        <is>
          <t>銷售成本和加工服務費</t>
        </is>
      </c>
    </row>
    <row r="738" customFormat="1" s="8">
      <c r="A738" s="6" t="inlineStr">
        <is>
          <t>Giá vốn khác</t>
        </is>
      </c>
      <c r="B738" s="6" t="inlineStr">
        <is>
          <t>Other costs</t>
        </is>
      </c>
      <c r="C738" s="6" t="inlineStr">
        <is>
          <t>其他成本</t>
        </is>
      </c>
      <c r="D738" s="6" t="inlineStr">
        <is>
          <t>其他成本</t>
        </is>
      </c>
    </row>
    <row r="739" customFormat="1" s="8">
      <c r="A739" s="6" t="inlineStr">
        <is>
          <t>Giá vốn thành phẩm đã bán</t>
        </is>
      </c>
      <c r="B739" s="6" t="inlineStr">
        <is>
          <t>Cost of finished goods sold</t>
        </is>
      </c>
      <c r="C739" s="6" t="inlineStr">
        <is>
          <t>已售制成品成本</t>
        </is>
      </c>
      <c r="D739" s="6" t="inlineStr">
        <is>
          <t>已售製成品成本</t>
        </is>
      </c>
    </row>
    <row r="740" customFormat="1" s="8">
      <c r="A740" s="6" t="inlineStr">
        <is>
          <t>Giám đốc</t>
        </is>
      </c>
      <c r="B740" s="6" t="inlineStr">
        <is>
          <t>Director</t>
        </is>
      </c>
      <c r="C740" s="6" t="inlineStr">
        <is>
          <t>经理</t>
        </is>
      </c>
      <c r="D740" s="6" t="inlineStr">
        <is>
          <t>經理</t>
        </is>
      </c>
    </row>
    <row r="741" ht="96.59999999999999" customFormat="1" customHeight="1" s="8">
      <c r="A741" s="6" t="inlineStr">
        <is>
          <t xml:space="preserve">Giám đốc chịu trách nhiệm đảm bảo rằng sổ sách kế toán được ghi chép một cách phù hợp để phản ánh một cách hợp lý tình hình tài chính của Công ty ở bất kỳ thời điểm nào. </t>
        </is>
      </c>
      <c r="B741" s="6" t="inlineStr">
        <is>
          <t xml:space="preserve">Director is responsible for ensuring that proper accounting records are kept, which disclose, with reasonable accuracy at any time, the financial position of the Company. </t>
        </is>
      </c>
      <c r="C741" s="6" t="inlineStr">
        <is>
          <t>经理应负责保证会计账簿适当地记载且公允地反映公司在某个时间点的财务状况。</t>
        </is>
      </c>
      <c r="D741" s="6" t="inlineStr">
        <is>
          <t>經理應負責保證會計帳簿適當地記載且公允地反映公司於某個時間點之財務狀況。</t>
        </is>
      </c>
    </row>
    <row r="742" ht="248.4" customFormat="1" customHeight="1" s="8">
      <c r="A742" s="6" t="inlineStr">
        <is>
          <t>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mà Giám đốc xác định là cần thiết để đảm bảo cho việc lập và trình bày Báo cáo tài chính không có sai sót trọng yếu do gian lận hoặc nhầm lẫn.</t>
        </is>
      </c>
      <c r="B742" s="6" t="inlineStr">
        <is>
          <t>Director is responsible for the preparation and fair presentation of these financial statements in accordance with Vietnamese Accounting Standards, the Vietnamese Enterprise Accounting System and applicable regulations relevant to the preparation and presentation of financial statements and for such internal control as Director determines is necessary to enable the preparation of financial statements that are free from material misstatement, whether due to fraud or error.</t>
        </is>
      </c>
      <c r="C742" s="6" t="inlineStr">
        <is>
          <t>公司经理负责按照《越南会计准则》、《越南企业会计制度》以及财务报表编制和列报的相关法规编制财务报表，并使其实现公允反映，以及对经理确定必要的内部控制负有责任，以使财务报表的编制与列报不存在由于舞弊或错误导致的重大错报。</t>
        </is>
      </c>
      <c r="D742" s="6" t="inlineStr">
        <is>
          <t>公司經理負責按照《越南會計準則》、《越南企業會計制度》以及財務報表編製及列報之相關法規編製財務報表，並使其實現公允反映，以及對經理確定必要之內部控制負有責任，以使財務報表之編製與列報不存在由於舞弊或錯誤導致之重大錯報。</t>
        </is>
      </c>
    </row>
    <row r="743" ht="138" customFormat="1" customHeight="1" s="8">
      <c r="A743" s="6" t="inlineStr">
        <is>
          <t>Giám đốc Công ty có trách nhiệm lập Báo cáo tài chính từng năm, phản ánh một cách trung thực và hợp lý tình hình tài chính của Công ty, cũng như kết quả hoạt động kinh doanh và tình hình lưu chuyển tiền tệ trong năm. Trong việc lập Báo cáo tài chính này, Giám đốc được yêu cầu phải:</t>
        </is>
      </c>
      <c r="B743" s="6" t="inlineStr">
        <is>
          <t>Director is responsible for preparing the financial statements of each fiscal year, which give a true and fair view of the state of affairs of the Company and of its operations and cash flows for the year. In preparing those financial statements, Director is required to:</t>
        </is>
      </c>
      <c r="C743" s="6" t="inlineStr">
        <is>
          <t>公司经理应负责编制每年度的财务报表，并使其真实、公允地反映公司年度内的财务状况、营业活动结果和现金流量状况。对于本财务报表的编制，经理必须：</t>
        </is>
      </c>
      <c r="D743" s="6" t="inlineStr">
        <is>
          <t>公司經理應負責編製每年度之財務報表，並使其真實、公允地反映公司年度內之財務狀況、營業活動結果以及現金流量狀況。對於本財務報表之編製，經理必須：</t>
        </is>
      </c>
    </row>
    <row r="744" ht="41.4" customFormat="1" customHeight="1" s="8">
      <c r="A744" s="6" t="inlineStr">
        <is>
          <t>Giám đốc Công ty, đã điều hành Công ty trong suốt năm và đến ngày lập báo cáo.</t>
        </is>
      </c>
      <c r="B744" s="6" t="inlineStr">
        <is>
          <t>Director of the Company, has held business during the year and at the date of this report.</t>
        </is>
      </c>
      <c r="C744" s="6" t="inlineStr">
        <is>
          <t>公司经理，已经负责维持公司整年度截至编制报表当日的运作。</t>
        </is>
      </c>
      <c r="D744" s="6" t="inlineStr">
        <is>
          <t>公司經理，業已負責維持公司整年度截至編製報表當日之運作。</t>
        </is>
      </c>
    </row>
    <row r="745" ht="96.59999999999999" customFormat="1" customHeight="1" s="8">
      <c r="A745" s="6" t="inlineStr">
        <is>
          <t>Giám đốc cũng chịu trách nhiệm đảm bảo an toàn cho tài sản của Công ty và vì vậy thực hiện các biện pháp thích hợp để ngăn chặn và phát hiện các hành vi gian lận và sai phạm khác.</t>
        </is>
      </c>
      <c r="B745" s="6" t="inlineStr">
        <is>
          <t>Director is also responsible for safeguarding the assets of the Company and hence for taking reasonable steps for the prevention and detection of fraud and other irregularities.</t>
        </is>
      </c>
      <c r="C745" s="6" t="inlineStr">
        <is>
          <t>经理亦负责确保公司财产的安全，所以已采取适当措施以防止或发现舞弊及其他违法行为。</t>
        </is>
      </c>
      <c r="D745" s="6" t="inlineStr">
        <is>
          <t>經理亦負責確保公司財產之安全，所以已採取適當措施以防止或發現舞弊及其他違法行為。</t>
        </is>
      </c>
    </row>
    <row r="746" customFormat="1" s="8">
      <c r="A746" s="6" t="inlineStr">
        <is>
          <t>Giám đốc điều hành</t>
        </is>
      </c>
      <c r="B746" s="6" t="inlineStr">
        <is>
          <t>Managing Director</t>
        </is>
      </c>
      <c r="C746" s="6" t="inlineStr">
        <is>
          <t>执行总监</t>
        </is>
      </c>
      <c r="D746" s="6" t="inlineStr">
        <is>
          <t>執行總監</t>
        </is>
      </c>
    </row>
    <row r="747" ht="96.59999999999999" customFormat="1" customHeight="1" s="8">
      <c r="A747" s="6" t="inlineStr">
        <is>
          <t xml:space="preserve">Giám đốc điều hành chịu trách nhiệm đảm bảo rằng sổ sách kế toán được ghi chép một cách phù hợp để phản ánh một cách hợp lý tình hình tài chính của Công ty ở bất kỳ thời điểm nào. </t>
        </is>
      </c>
      <c r="B747" s="6" t="inlineStr">
        <is>
          <t xml:space="preserve">Managing Director is responsible for ensuring that proper accounting records are kept, which disclose, with reasonable accuracy at any time, the financial position of the Company. </t>
        </is>
      </c>
      <c r="C747" s="6" t="inlineStr">
        <is>
          <t>执行总监应负责保证会计账簿适当地记载且公允地反映公司在某个时间点的财务状况。</t>
        </is>
      </c>
      <c r="D747" s="6" t="inlineStr">
        <is>
          <t>執行總監應負責保證會計帳簿適當地記載且公允地反映公司於某個時間點之財務狀況。</t>
        </is>
      </c>
    </row>
    <row r="748" ht="262.2" customFormat="1" customHeight="1" s="8">
      <c r="A748" s="6" t="inlineStr">
        <is>
          <t>Giám đốc điều hành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mà Giám đốc điều hành xác định là cần thiết để đảm bảo cho việc lập và trình bày Báo cáo tài chính không có sai sót trọng yếu do gian lận hoặc nhầm lẫn.</t>
        </is>
      </c>
      <c r="B748" s="6" t="inlineStr">
        <is>
          <t>Managing Director is responsible for the preparation and fair presentation of these financial statements in accordance with Vietnamese Accounting Standards, the Vietnamese Enterprise Accounting System and applicable regulations relevant to the preparation and presentation of financial statements and for such internal control as Managing Director determines is necessary to enable the preparation of financial statements that are free from material misstatement, whether due to fraud or error.</t>
        </is>
      </c>
      <c r="C748" s="6" t="inlineStr">
        <is>
          <t>公司执行总监负责按照《越南会计准则》、《越南企业会计制度》以及财务报表编制和列报的相关法规编制财务报表，并使其实现公允反映，以及对执行总监确定必要的内部控制负有责任，以使财务报表的编制与列报不存在由于舞弊或错误导致的重大错报。</t>
        </is>
      </c>
      <c r="D748" s="6" t="inlineStr">
        <is>
          <t>公司執行總監負責按照《越南會計準則》、《越南企業會計制度》以及財務報表編製及列報之相關法規編製財務報表，並使其實現公允反映，以及對執行總監確定必要之內部控制負有責任，以使財務報表之編製與列報不存在由於舞弊或錯誤導致之重大錯報。</t>
        </is>
      </c>
    </row>
    <row r="749" ht="151.8" customFormat="1" customHeight="1" s="8">
      <c r="A749" s="6" t="inlineStr">
        <is>
          <t>Giám đốc điều hành Công ty có trách nhiệm lập Báo cáo tài chính từng năm, phản ánh một cách trung thực và hợp lý tình hình tài chính của Công ty, cũng như kết quả hoạt động kinh doanh và tình hình lưu chuyển tiền tệ trong năm. Trong việc lập Báo cáo tài chính này, Giám đốc điều hành được yêu cầu phải:</t>
        </is>
      </c>
      <c r="B749" s="6" t="inlineStr">
        <is>
          <t>Managing Director is responsible for preparing the financial statements of each fiscal year, which give a true and fair view of the state of affairs of the Company and of its operations and cash flows for the year. In preparing those financial statements, Managing Director is required to:</t>
        </is>
      </c>
      <c r="C749" s="6" t="inlineStr">
        <is>
          <t>公司执行总监应负责编制每年度的财务报表，并使其真实、公允地反映公司年度内的财务状况、营业活动结果和现金流量状况。对于本财务报表的编制，执行总监必须：</t>
        </is>
      </c>
      <c r="D749" s="6" t="inlineStr">
        <is>
          <t>公司執行總監應負責編製每年度之財務報表，並使其真實、公允地反映公司年度內之財務狀況、營業活動結果以及現金流量狀況。對於本財務報表之編製，執行總監必須：</t>
        </is>
      </c>
    </row>
    <row r="750" ht="69" customFormat="1" customHeight="1" s="8">
      <c r="A750" s="6" t="inlineStr">
        <is>
          <t>Giám đốc điều hành Công ty đã điều hành Công ty trong suốt năm và đến ngày lập báo cáo gồm:</t>
        </is>
      </c>
      <c r="B750" s="6" t="inlineStr">
        <is>
          <t>Managing Director of the Company who has held business during the year and at the date of this report are as follows:</t>
        </is>
      </c>
      <c r="C750" s="6" t="inlineStr">
        <is>
          <t>公司执行总监，已经负责维持公司整年度截至编制报表当日的运作，详细如下：</t>
        </is>
      </c>
      <c r="D750" s="6" t="inlineStr">
        <is>
          <t>公司執行總監，業已負責維持公司整年度截至編製報表當日之運作，詳細如下：</t>
        </is>
      </c>
    </row>
    <row r="751" ht="96.59999999999999" customFormat="1" customHeight="1" s="8">
      <c r="A751" s="6" t="inlineStr">
        <is>
          <t>Giám đốc điều hành cũng chịu trách nhiệm đảm bảo an toàn cho tài sản của Công ty và vì vậy thực hiện các biện pháp thích hợp để ngăn chặn và phát hiện các hành vi gian lận và sai phạm khác.</t>
        </is>
      </c>
      <c r="B751" s="6" t="inlineStr">
        <is>
          <t>Managing Director is also responsible for safeguarding the assets of the Company and hence for taking reasonable steps for the prevention and detection of fraud and other irregularities.</t>
        </is>
      </c>
      <c r="C751" s="6" t="inlineStr">
        <is>
          <t>执行总监亦负责确保公司财产的安全，所以已采取适当措施以防止或发现舞弊及其他违法行为。</t>
        </is>
      </c>
      <c r="D751" s="6" t="inlineStr">
        <is>
          <t>執行總監亦負責確保公司財產之安全，所以已採取適當措施以防止或發現舞弊及其他違法行為。</t>
        </is>
      </c>
    </row>
    <row r="752" ht="69" customFormat="1" customHeight="1" s="8">
      <c r="A752" s="6" t="inlineStr">
        <is>
          <t>Giám đốc điều hành xác nhận rằng Công ty đã tuân thủ các yêu cầu nêu trên trong việc lập Báo cáo tài chính.</t>
        </is>
      </c>
      <c r="B752" s="6" t="inlineStr">
        <is>
          <t>Managing Director confirms that the Company has complied with the above requirements in preparing the financial statements.</t>
        </is>
      </c>
      <c r="C752" s="6" t="inlineStr">
        <is>
          <t>执行总监确认，公司在编制财务报表过程中已遵守上述要求。</t>
        </is>
      </c>
      <c r="D752" s="6" t="inlineStr">
        <is>
          <t>執行總監確認，公司在編製財務報表過程中已遵守上述要求。</t>
        </is>
      </c>
    </row>
    <row r="753" customFormat="1" s="8">
      <c r="A753" s="6" t="inlineStr">
        <is>
          <t>Giám đốc Kiểm phẩm</t>
        </is>
      </c>
      <c r="B753" s="6" t="inlineStr">
        <is>
          <t>Quality Control Director</t>
        </is>
      </c>
      <c r="C753" s="6" t="inlineStr">
        <is>
          <t>品检经理</t>
        </is>
      </c>
      <c r="D753" s="6" t="inlineStr">
        <is>
          <t>品檢經理</t>
        </is>
      </c>
    </row>
    <row r="754" customFormat="1" s="8">
      <c r="A754" s="6" t="inlineStr">
        <is>
          <t>Giám đốc Kinh doanh</t>
        </is>
      </c>
      <c r="B754" s="6" t="inlineStr">
        <is>
          <t>Sales Director</t>
        </is>
      </c>
      <c r="C754" s="6" t="inlineStr">
        <is>
          <t>业务经理</t>
        </is>
      </c>
      <c r="D754" s="6" t="inlineStr">
        <is>
          <t>業務經理</t>
        </is>
      </c>
    </row>
    <row r="755" customFormat="1" s="8">
      <c r="A755" s="6" t="inlineStr">
        <is>
          <t>Giám đốc Nguyên liệu</t>
        </is>
      </c>
      <c r="B755" s="6" t="inlineStr">
        <is>
          <t>Materials Director</t>
        </is>
      </c>
      <c r="C755" s="6" t="inlineStr">
        <is>
          <t>原料经理</t>
        </is>
      </c>
      <c r="D755" s="6" t="inlineStr">
        <is>
          <t>原料經理</t>
        </is>
      </c>
    </row>
    <row r="756" customFormat="1" s="8">
      <c r="A756" s="6" t="inlineStr">
        <is>
          <t>Giám đốc Nhân sự</t>
        </is>
      </c>
      <c r="B756" s="6" t="inlineStr">
        <is>
          <t>Human Resources Director</t>
        </is>
      </c>
      <c r="C756" s="6" t="inlineStr">
        <is>
          <t>人事经理</t>
        </is>
      </c>
      <c r="D756" s="6" t="inlineStr">
        <is>
          <t>人事經理</t>
        </is>
      </c>
    </row>
    <row r="757" customFormat="1" s="8">
      <c r="A757" s="6" t="inlineStr">
        <is>
          <t>Giám đốc sản xuất</t>
        </is>
      </c>
      <c r="B757" s="6" t="inlineStr">
        <is>
          <t>Production Director</t>
        </is>
      </c>
      <c r="C757" s="6" t="inlineStr">
        <is>
          <t>厂务经理</t>
        </is>
      </c>
      <c r="D757" s="6" t="inlineStr">
        <is>
          <t>廠務經理</t>
        </is>
      </c>
    </row>
    <row r="758" customFormat="1" s="8">
      <c r="A758" s="6" t="inlineStr">
        <is>
          <t>Giám đốc tài vụ</t>
        </is>
      </c>
      <c r="B758" s="6" t="inlineStr">
        <is>
          <t>Finance Director</t>
        </is>
      </c>
      <c r="C758" s="6" t="inlineStr">
        <is>
          <t>财务经理</t>
        </is>
      </c>
      <c r="D758" s="6" t="inlineStr">
        <is>
          <t>財務經理</t>
        </is>
      </c>
    </row>
    <row r="759" ht="69" customFormat="1" customHeight="1" s="8">
      <c r="A759" s="6" t="inlineStr">
        <is>
          <t>Giám đốc xác nhận rằng Công ty đã tuân thủ các yêu cầu nêu trên trong việc lập Báo cáo tài chính.</t>
        </is>
      </c>
      <c r="B759" s="6" t="inlineStr">
        <is>
          <t>Director confirms that the Company has complied with the above requirements in preparing the financial statements.</t>
        </is>
      </c>
      <c r="C759" s="6" t="inlineStr">
        <is>
          <t>经理确认，公司在编制财务报表过程中已遵守上述要求。</t>
        </is>
      </c>
      <c r="D759" s="6" t="inlineStr">
        <is>
          <t>經理確認，公司在編製財務報表過程中已遵守上述要求。</t>
        </is>
      </c>
    </row>
    <row r="760" customFormat="1" s="8">
      <c r="A760" s="6" t="inlineStr">
        <is>
          <t>Giảm giá hàng bán</t>
        </is>
      </c>
      <c r="B760" s="6" t="inlineStr">
        <is>
          <t>Sales allowances</t>
        </is>
      </c>
      <c r="C760" s="6" t="inlineStr">
        <is>
          <t>销售折让</t>
        </is>
      </c>
      <c r="D760" s="6" t="inlineStr">
        <is>
          <t>銷售折讓</t>
        </is>
      </c>
    </row>
    <row r="761" customFormat="1" s="8">
      <c r="A761" s="6" t="inlineStr">
        <is>
          <t>Giảm khác</t>
        </is>
      </c>
      <c r="B761" s="6" t="inlineStr">
        <is>
          <t>Other decreases</t>
        </is>
      </c>
      <c r="C761" s="6" t="inlineStr">
        <is>
          <t>其他减少</t>
        </is>
      </c>
      <c r="D761" s="6" t="inlineStr">
        <is>
          <t>其他減少</t>
        </is>
      </c>
    </row>
    <row r="762" customFormat="1" s="8">
      <c r="A762" s="6" t="inlineStr">
        <is>
          <t>Giảm trong năm</t>
        </is>
      </c>
      <c r="B762" s="6" t="inlineStr">
        <is>
          <t>Decreases</t>
        </is>
      </c>
      <c r="C762" s="6" t="inlineStr">
        <is>
          <t>年度内減少</t>
        </is>
      </c>
      <c r="D762" s="6" t="inlineStr">
        <is>
          <t>年度內減少</t>
        </is>
      </c>
    </row>
    <row r="763" customFormat="1" s="8">
      <c r="A763" s="6" t="inlineStr">
        <is>
          <t>Giảm trừ doanh thu</t>
        </is>
      </c>
      <c r="B763" s="6" t="inlineStr">
        <is>
          <t>Sales deductions</t>
        </is>
      </c>
      <c r="C763" s="6" t="inlineStr">
        <is>
          <t>营业收入抵减项目</t>
        </is>
      </c>
      <c r="D763" s="6" t="inlineStr">
        <is>
          <t>營業收入抵減項目</t>
        </is>
      </c>
    </row>
    <row r="764" customFormat="1" s="8">
      <c r="A764" s="6" t="inlineStr">
        <is>
          <t>Giảm vốn trong năm</t>
        </is>
      </c>
      <c r="B764" s="6" t="inlineStr">
        <is>
          <t>Capital decrease in the year</t>
        </is>
      </c>
      <c r="C764" s="6" t="inlineStr">
        <is>
          <t>年度减资</t>
        </is>
      </c>
      <c r="D764" s="6" t="inlineStr">
        <is>
          <t>年度減資</t>
        </is>
      </c>
    </row>
    <row r="765" ht="27.6" customFormat="1" customHeight="1" s="8">
      <c r="A765" s="6" t="inlineStr">
        <is>
          <t>Giao dịch mua bán lại trái phiếu Chính phủ</t>
        </is>
      </c>
      <c r="B765" s="6" t="inlineStr">
        <is>
          <t>Transactions of Government Bond</t>
        </is>
      </c>
      <c r="C765" s="6" t="inlineStr">
        <is>
          <t>政府债券买卖交易</t>
        </is>
      </c>
      <c r="D765" s="6" t="inlineStr">
        <is>
          <t>政府債券買賣交易</t>
        </is>
      </c>
    </row>
    <row r="766" customFormat="1" s="8">
      <c r="A766" s="6" t="inlineStr">
        <is>
          <t>Giao dịch với các bên liên quan</t>
        </is>
      </c>
      <c r="B766" s="6" t="inlineStr">
        <is>
          <t>Related-party transactions</t>
        </is>
      </c>
      <c r="C766" s="6" t="inlineStr">
        <is>
          <t>关联方交易</t>
        </is>
      </c>
      <c r="D766" s="6" t="inlineStr">
        <is>
          <t>關聯方交易</t>
        </is>
      </c>
    </row>
    <row r="767" ht="27.6" customFormat="1" customHeight="1" s="8">
      <c r="A767" s="6" t="inlineStr">
        <is>
          <t>giấy chứng nhận đăng ký doanh nghiệp</t>
        </is>
      </c>
      <c r="B767" s="6" t="inlineStr">
        <is>
          <t>enterprise registration certificate</t>
        </is>
      </c>
      <c r="C767" s="6" t="inlineStr">
        <is>
          <t>企业登记证书</t>
        </is>
      </c>
      <c r="D767" s="6" t="inlineStr">
        <is>
          <t>企業登記證書</t>
        </is>
      </c>
    </row>
    <row r="768" customFormat="1" s="8">
      <c r="A768" s="6" t="inlineStr">
        <is>
          <t>Giấy CNĐKHN kế toán số:</t>
        </is>
      </c>
      <c r="B768" s="6" t="inlineStr">
        <is>
          <t>Registered No.:</t>
        </is>
      </c>
      <c r="C768" s="6" t="inlineStr">
        <is>
          <t>会计执业证书编号：</t>
        </is>
      </c>
      <c r="D768" s="6" t="inlineStr">
        <is>
          <t>會計執業證書編號：</t>
        </is>
      </c>
    </row>
    <row r="769" ht="27.6" customFormat="1" customHeight="1" s="8">
      <c r="A769" s="6" t="inlineStr">
        <is>
          <t>Giữ lại để tăng vốn kinh doanh</t>
        </is>
      </c>
      <c r="B769" s="6" t="inlineStr">
        <is>
          <t>Retained to support business capital</t>
        </is>
      </c>
      <c r="C769" s="6" t="inlineStr">
        <is>
          <t>保留盈余转作营运资金</t>
        </is>
      </c>
      <c r="D769" s="6" t="inlineStr">
        <is>
          <t>保留盈餘轉作營運資金</t>
        </is>
      </c>
    </row>
    <row r="770" customFormat="1" s="8">
      <c r="A770" s="6" t="inlineStr">
        <is>
          <t>Góp vốn</t>
        </is>
      </c>
      <c r="B770" s="6" t="inlineStr">
        <is>
          <t>Capital contribution</t>
        </is>
      </c>
      <c r="C770" s="6" t="inlineStr">
        <is>
          <t>投资入股</t>
        </is>
      </c>
      <c r="D770" s="6" t="inlineStr">
        <is>
          <t>投資入股</t>
        </is>
      </c>
    </row>
    <row r="771" ht="27.6" customFormat="1" customHeight="1" s="8">
      <c r="A771" s="6" t="inlineStr">
        <is>
          <t>Góp vốn vào công ty con</t>
        </is>
      </c>
      <c r="B771" s="6" t="inlineStr">
        <is>
          <t>Capital contribution in Subsidiary</t>
        </is>
      </c>
      <c r="C771" s="6" t="inlineStr">
        <is>
          <t>投资子公司</t>
        </is>
      </c>
      <c r="D771" s="6" t="inlineStr">
        <is>
          <t>投資子公司</t>
        </is>
      </c>
    </row>
    <row r="772" customFormat="1" s="8">
      <c r="A772" s="6" t="inlineStr">
        <is>
          <t>Hạn mức</t>
        </is>
      </c>
      <c r="B772" s="6" t="inlineStr">
        <is>
          <t>Limit</t>
        </is>
      </c>
      <c r="C772" s="6" t="inlineStr">
        <is>
          <t>借款限额</t>
        </is>
      </c>
      <c r="D772" s="6" t="inlineStr">
        <is>
          <t>借款限額</t>
        </is>
      </c>
    </row>
    <row r="773" customFormat="1" s="8">
      <c r="A773" s="6" t="inlineStr">
        <is>
          <t>Hạn mức cấp tín dụng</t>
        </is>
      </c>
      <c r="B773" s="6" t="inlineStr">
        <is>
          <t>Credit limit</t>
        </is>
      </c>
      <c r="C773" s="6" t="inlineStr">
        <is>
          <t>信用额度</t>
        </is>
      </c>
      <c r="D773" s="6" t="inlineStr">
        <is>
          <t>信用額度</t>
        </is>
      </c>
    </row>
    <row r="774" customFormat="1" s="8">
      <c r="A774" s="6" t="inlineStr">
        <is>
          <t>Hạn mức tín dụng (USD)</t>
        </is>
      </c>
      <c r="B774" s="6" t="inlineStr">
        <is>
          <t>Credit limit (USD)</t>
        </is>
      </c>
      <c r="C774" s="6" t="inlineStr">
        <is>
          <t>借款限额（美元）</t>
        </is>
      </c>
      <c r="D774" s="6" t="inlineStr">
        <is>
          <t>借款限額（美元）</t>
        </is>
      </c>
    </row>
    <row r="775" customFormat="1" s="8">
      <c r="A775" s="6" t="inlineStr">
        <is>
          <t>Hàng bán bị trả lại</t>
        </is>
      </c>
      <c r="B775" s="6" t="inlineStr">
        <is>
          <t>Sales returns</t>
        </is>
      </c>
      <c r="C775" s="6" t="inlineStr">
        <is>
          <t>销货退回</t>
        </is>
      </c>
      <c r="D775" s="6" t="inlineStr">
        <is>
          <t>銷貨退回</t>
        </is>
      </c>
    </row>
    <row r="776" customFormat="1" s="8">
      <c r="A776" s="6" t="inlineStr">
        <is>
          <t>Hàng gửi bán</t>
        </is>
      </c>
      <c r="B776" s="6" t="inlineStr">
        <is>
          <t>Goods on consignment</t>
        </is>
      </c>
      <c r="C776" s="6" t="inlineStr">
        <is>
          <t>寄销品/商品寄销</t>
        </is>
      </c>
      <c r="D776" s="6" t="inlineStr">
        <is>
          <t>寄銷品/商品寄銷</t>
        </is>
      </c>
    </row>
    <row r="777" customFormat="1" s="8">
      <c r="A777" s="6" t="inlineStr">
        <is>
          <t>Hàng gửi đi bán</t>
        </is>
      </c>
      <c r="B777" s="6" t="inlineStr">
        <is>
          <t>Goods on consignment</t>
        </is>
      </c>
      <c r="C777" s="6" t="inlineStr">
        <is>
          <t>寄销品</t>
        </is>
      </c>
      <c r="D777" s="6" t="inlineStr">
        <is>
          <t>寄銷品</t>
        </is>
      </c>
    </row>
    <row r="778" customFormat="1" s="8">
      <c r="A778" s="6" t="inlineStr">
        <is>
          <t>Hàng hóa</t>
        </is>
      </c>
      <c r="B778" s="6" t="inlineStr">
        <is>
          <t>Goods</t>
        </is>
      </c>
      <c r="C778" s="6" t="inlineStr">
        <is>
          <t>商品</t>
        </is>
      </c>
      <c r="D778" s="6" t="inlineStr">
        <is>
          <t>商品</t>
        </is>
      </c>
    </row>
    <row r="779" ht="41.4" customFormat="1" customHeight="1" s="8">
      <c r="A779" s="6" t="inlineStr">
        <is>
          <t>Hàng hóa nhận bán hộ, nhận ký gửi, ký cược</t>
        </is>
      </c>
      <c r="B779" s="6" t="inlineStr">
        <is>
          <t>Goods received on consignment for sales or for mortgage</t>
        </is>
      </c>
      <c r="C779" s="6" t="inlineStr">
        <is>
          <t>代销商品或抵押物品</t>
        </is>
      </c>
      <c r="D779" s="6" t="inlineStr">
        <is>
          <t>代銷商品或抵押物品</t>
        </is>
      </c>
    </row>
    <row r="780" customFormat="1" s="8">
      <c r="A780" s="6" t="inlineStr">
        <is>
          <t>Hàng mẫu không thanh toán</t>
        </is>
      </c>
      <c r="B780" s="6" t="inlineStr">
        <is>
          <t>Non-payment samples</t>
        </is>
      </c>
      <c r="C780" s="6" t="inlineStr">
        <is>
          <t>不付款样品</t>
        </is>
      </c>
      <c r="D780" s="6" t="inlineStr">
        <is>
          <t>不付款樣品</t>
        </is>
      </c>
    </row>
    <row r="781" customFormat="1" s="8">
      <c r="A781" s="6" t="inlineStr">
        <is>
          <t>Hàng mua đang đi đường</t>
        </is>
      </c>
      <c r="B781" s="6" t="inlineStr">
        <is>
          <t>Goods in transit</t>
        </is>
      </c>
      <c r="C781" s="6" t="inlineStr">
        <is>
          <t>在途存货</t>
        </is>
      </c>
      <c r="D781" s="6" t="inlineStr">
        <is>
          <t>在途存貨</t>
        </is>
      </c>
    </row>
    <row r="782" customFormat="1" s="8">
      <c r="A782" s="6" t="inlineStr">
        <is>
          <t>Hàng tồn kho</t>
        </is>
      </c>
      <c r="B782" s="6" t="inlineStr">
        <is>
          <t>Inventories-chọn-Inventory</t>
        </is>
      </c>
      <c r="C782" s="6" t="inlineStr">
        <is>
          <t>存货</t>
        </is>
      </c>
      <c r="D782" s="6" t="inlineStr">
        <is>
          <t>存貨</t>
        </is>
      </c>
    </row>
    <row r="783" ht="41.4" customFormat="1" customHeight="1" s="8">
      <c r="A783" s="6" t="inlineStr">
        <is>
          <t>Hàng tồn kho được hạch toán theo phương pháp kê khai thường xuyên.</t>
        </is>
      </c>
      <c r="B783" s="6" t="inlineStr">
        <is>
          <t>Inventories are accounted for using the perpetual method.</t>
        </is>
      </c>
      <c r="C783" s="6" t="inlineStr">
        <is>
          <t>存货核算以永续盘存制为基础。</t>
        </is>
      </c>
      <c r="D783" s="6" t="inlineStr">
        <is>
          <t>存貨核算以永續盤存制為基礎。</t>
        </is>
      </c>
    </row>
    <row r="784" ht="41.4" customFormat="1" customHeight="1" s="8">
      <c r="A784" s="6" t="inlineStr">
        <is>
          <t>Hàng tồn kho được hạch toán theo phương pháp kiểm kê định kỳ.</t>
        </is>
      </c>
      <c r="B784" s="6" t="inlineStr">
        <is>
          <t>Inventories are accounted for using the periodic method.</t>
        </is>
      </c>
      <c r="C784" s="6" t="inlineStr">
        <is>
          <t>存货核算以定期盘存制为基础。</t>
        </is>
      </c>
      <c r="D784" s="6" t="inlineStr">
        <is>
          <t>存貨核算以定期盤存制為基礎。</t>
        </is>
      </c>
    </row>
    <row r="785" ht="248.4" customFormat="1" customHeight="1" s="8">
      <c r="A785" s="6" t="inlineStr">
        <is>
          <t>Hàng tồn kho được tính theo giá gốc. Trường hợp giá trị thuần có thể thực hiện được thấp hơn giá gốc thì tính theo giá trị thuần có thể thực hiện được. Giá gốc hàng tồn kho bao gồm: Chi phí mua, chi phí chế biến và các chi phí liên quan trực tiếp khác phát sinh để có được hàng tồn kho ở địa điểm và trạng thái hiện tại. Giá trị thuần có thể thực hiện được là giá bán ước tính của hàng tồn kho trong kỳ sản xuất kinh doanh bình thường trừ chi phí ước tính để hoàn thành sản phẩm và chi phí ước tính cần thiết cho việc tiêu thụ chúng.</t>
        </is>
      </c>
      <c r="B785" s="6" t="inlineStr">
        <is>
          <t>Inventories are stated at the historical cost. In case the net realizable value is lower than the historical, inventories are stated at the net realizable value. The historical cost of inventories should comprise all costs of purchase, costs of conversion and other directly attributable costs incurred in bringing the inventories to their present location and condition. Net realizable value represents the estimated selling price less all estimated costs to completion and costs to make the sale.</t>
        </is>
      </c>
      <c r="C785" s="6" t="inlineStr">
        <is>
          <t>存货以原始成本（原价）认列。若可变现净值低于原始成本（原价），宜以可变现净值计量（成本与可变现净值孰低法）。存货原始成本包含使其达到当前状况及地点所发生的采购费用、加工费用和其他直接相关的必要支出。可变现净值乃在期内正常生产、经营过程中，以估计售价减去至完工时估计将发生的必要支出以及估计销售费用后的净值。</t>
        </is>
      </c>
      <c r="D785" s="6" t="inlineStr">
        <is>
          <t>存貨以原始成本（原價）認列。若可變現淨值低於原始成本（原價），宜以可變現淨值計量（成本與可變現淨值孰低法）。存貨原始成本包含使其達到當前狀況及地點所發生的採購費用、加工費用以及其他直接相關之必要支出。可變現淨值乃在期內正常生產、經營過程中，以估計售價減去至完工時估計將發生的必要支出以及估計銷售費用後之淨值。</t>
        </is>
      </c>
    </row>
    <row r="786" customFormat="1" s="8">
      <c r="A786" s="6" t="inlineStr">
        <is>
          <t>Hình thức sở hữu vốn</t>
        </is>
      </c>
      <c r="B786" s="6" t="inlineStr">
        <is>
          <t>Form of ownership</t>
        </is>
      </c>
      <c r="C786" s="6" t="inlineStr">
        <is>
          <t>股权拥有制形式</t>
        </is>
      </c>
      <c r="D786" s="6" t="inlineStr">
        <is>
          <t>股權擁有制形式</t>
        </is>
      </c>
    </row>
    <row r="787" customFormat="1" s="8">
      <c r="A787" s="6" t="inlineStr">
        <is>
          <t>Hoàn nhập</t>
        </is>
      </c>
      <c r="B787" s="6" t="inlineStr">
        <is>
          <t>Reversal</t>
        </is>
      </c>
      <c r="C787" s="6" t="inlineStr">
        <is>
          <t>冲减数</t>
        </is>
      </c>
      <c r="D787" s="6" t="inlineStr">
        <is>
          <t>沖減數</t>
        </is>
      </c>
    </row>
    <row r="788" customFormat="1" s="8">
      <c r="A788" s="6" t="inlineStr">
        <is>
          <t>Hoàn nhập trong năm</t>
        </is>
      </c>
      <c r="B788" s="6" t="inlineStr">
        <is>
          <t>Reversal in the year</t>
        </is>
      </c>
      <c r="C788" s="6" t="inlineStr">
        <is>
          <t>年度内迴转数</t>
        </is>
      </c>
      <c r="D788" s="6" t="inlineStr">
        <is>
          <t>年度內迴轉數</t>
        </is>
      </c>
    </row>
    <row r="789" ht="27.6" customFormat="1" customHeight="1" s="8">
      <c r="A789" s="6" t="inlineStr">
        <is>
          <t>Hoạt động sản xuất kinh doanh</t>
        </is>
      </c>
      <c r="B789" s="6" t="inlineStr">
        <is>
          <t>Production and business activities</t>
        </is>
      </c>
      <c r="C789" s="6" t="inlineStr">
        <is>
          <t>生产、营业活动</t>
        </is>
      </c>
      <c r="D789" s="6" t="inlineStr">
        <is>
          <t>生產、營業活動</t>
        </is>
      </c>
    </row>
    <row r="790" customFormat="1" s="8">
      <c r="A790" s="6" t="inlineStr">
        <is>
          <t>Hội đồng Quản trị</t>
        </is>
      </c>
      <c r="B790" s="6" t="inlineStr">
        <is>
          <t>The Board of Directors</t>
        </is>
      </c>
      <c r="C790" s="6" t="inlineStr">
        <is>
          <t>董事会</t>
        </is>
      </c>
      <c r="D790" s="6" t="inlineStr">
        <is>
          <t>董事會</t>
        </is>
      </c>
    </row>
    <row r="791" customFormat="1" s="8">
      <c r="A791" s="6" t="inlineStr">
        <is>
          <t>Hội đồng Quản Trị</t>
        </is>
      </c>
      <c r="B791" s="6" t="inlineStr">
        <is>
          <t>The Board of Directors</t>
        </is>
      </c>
      <c r="C791" s="6" t="inlineStr">
        <is>
          <t>董事会</t>
        </is>
      </c>
      <c r="D791" s="6" t="inlineStr">
        <is>
          <t>董事會</t>
        </is>
      </c>
    </row>
    <row r="792" ht="96.59999999999999" customFormat="1" customHeight="1" s="8">
      <c r="A792" s="8" t="inlineStr">
        <is>
          <t xml:space="preserve">Hội đồng Quản trị chịu trách nhiệm đảm bảo rằng sổ sách kế toán được ghi chép một cách phù hợp để phản ánh một cách hợp lý tình hình tài chính của Công ty ở bất kỳ thời điểm nào. </t>
        </is>
      </c>
      <c r="B792" s="6" t="inlineStr">
        <is>
          <t xml:space="preserve">The Board of Directors is responsible for ensuring that proper accounting records are kept, which disclose, with reasonable accuracy at any time, the financial position of the Company. </t>
        </is>
      </c>
      <c r="C792" s="6" t="inlineStr">
        <is>
          <t>董事会应负责保证会计账簿适当地记载且公允地反映公司在某个时间点的财务状况。</t>
        </is>
      </c>
      <c r="D792" s="6" t="inlineStr">
        <is>
          <t>董事會應負責保證會計帳簿適當地記載且公允地反映公司於某個時間點之財務狀況。</t>
        </is>
      </c>
    </row>
    <row r="793" ht="262.2" customFormat="1" customHeight="1" s="8">
      <c r="A793" s="6" t="inlineStr">
        <is>
          <t>Hội đồng Quản trị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mà Hội đồng Quản trị xác định là cần thiết để đảm bảo cho việc lập và trình bày Báo cáo tài chính không có sai sót trọng yếu do gian lận hoặc nhầm lẫn.</t>
        </is>
      </c>
      <c r="B793" s="6" t="inlineStr">
        <is>
          <t>The Board of Directors is responsible for the preparation and fair presentation of these financial statements in accordance with Vietnamese Accounting Standards, the Vietnamese Enterprise Accounting System and applicable regulations relevant to the preparation and presentation of financial statements and for such internal control as the Board of Directors determines is necessary to enable the preparation of financial statements that are free from material misstatement, whether due to fraud or error.</t>
        </is>
      </c>
      <c r="C793" s="6" t="inlineStr">
        <is>
          <t>公司董事会负责按照《越南会计准则》、《越南企业会计制度》以及财务报表编制和列报的相关法规编制财务报表，并使其实现公允反映，以及对董事会确定必要的内部控制负有责任，以使财务报表的编制与列报不存在由于舞弊或错误导致的重大错报。</t>
        </is>
      </c>
      <c r="D793" s="6" t="inlineStr">
        <is>
          <t>公司董事會負責按照《越南會計準則》、《越南企業會計制度》以及財務報表編製及列報之相關法規編製財務報表，並使其實現公允反映，以及對董事會確定必要之內部控制負有責任，以使財務報表之編製與列報不存在由於舞弊或錯誤導致之重大錯報。</t>
        </is>
      </c>
    </row>
    <row r="794" ht="151.8" customFormat="1" customHeight="1" s="8">
      <c r="A794" s="6" t="inlineStr">
        <is>
          <t>Hội đồng Quản trị Công ty có trách nhiệm lập Báo cáo tài chính từng năm, phản ánh một cách trung thực và hợp lý tình hình tài chính của Công ty, cũng như kết quả hoạt động kinh doanh và tình hình lưu chuyển tiền tệ trong năm. Trong việc lập Báo cáo tài chính này, Hội đồng Quản trị được yêu cầu phải:</t>
        </is>
      </c>
      <c r="B794" s="6" t="inlineStr">
        <is>
          <t>The Board of Directors is responsible for preparing the financial statements of each fiscal year, which give a true and fair view of the state of affairs of the Company and of its operations and cash flows for the year. In preparing those financial statements, the Board of Directors is required to:</t>
        </is>
      </c>
      <c r="C794" s="6" t="inlineStr">
        <is>
          <t>公司董事会应负责编制每年度的财务报表，并使其真实、公允地反映公司年度内的财务状况、营业活动结果和现金流量状况。对于本财务报表的编制，董事会必须：</t>
        </is>
      </c>
      <c r="D794" s="6" t="inlineStr">
        <is>
          <t>公司董事會應負責編製每年度之財務報表，並使其真實、公允地反映公司年度內之財務狀況、營業活動結果以及現金流量狀況。對於本財務報表之編製，董事會必須：</t>
        </is>
      </c>
    </row>
    <row r="795" ht="69" customFormat="1" customHeight="1" s="8">
      <c r="A795" s="6" t="inlineStr">
        <is>
          <t>Hội đồng Quản trị Công ty đã điều hành Công ty trong suốt năm và đến ngày lập báo cáo gồm:</t>
        </is>
      </c>
      <c r="B795" s="6" t="inlineStr">
        <is>
          <t>The Board of Directors of the Company who have held business during the year and at the date of this report are as follows:</t>
        </is>
      </c>
      <c r="C795" s="6" t="inlineStr">
        <is>
          <t>公司董事会，已经负责维持公司整年度截至编制报表当日的运作，详细如下：</t>
        </is>
      </c>
      <c r="D795" s="6" t="inlineStr">
        <is>
          <t>公司董事會，業已負責維持公司整年度截至編製報表當日之運作，詳細如下：</t>
        </is>
      </c>
    </row>
    <row r="796" ht="96.59999999999999" customFormat="1" customHeight="1" s="8">
      <c r="A796" s="6" t="inlineStr">
        <is>
          <t>Hội đồng Quản trị cũng chịu trách nhiệm đảm bảo an toàn cho tài sản của Công ty và vì vậy thực hiện các biện pháp thích hợp để ngăn chặn và phát hiện các hành vi gian lận và sai phạm khác.</t>
        </is>
      </c>
      <c r="B796" s="6" t="inlineStr">
        <is>
          <t>The Board of Directors is also responsible for safeguarding the assets of the Company and hence for taking reasonable steps for the prevention and detection of fraud and other irregularities.</t>
        </is>
      </c>
      <c r="C796" s="6" t="inlineStr">
        <is>
          <t>董事会亦负责确保公司财产的安全，所以已采取适当措施以防止或发现舞弊及其他违法行为。</t>
        </is>
      </c>
      <c r="D796" s="6" t="inlineStr">
        <is>
          <t>董事會亦負責確保公司財產之安全，所以已採取適當措施以防止或發現舞弊及其他違法行為。</t>
        </is>
      </c>
    </row>
    <row r="797" ht="69" customFormat="1" customHeight="1" s="8">
      <c r="A797" s="6" t="inlineStr">
        <is>
          <t>Hội đồng Quản trị xác nhận rằng Công ty đã tuân thủ các yêu cầu nêu trên trong việc lập Báo cáo tài chính.</t>
        </is>
      </c>
      <c r="B797" s="6" t="inlineStr">
        <is>
          <t>The Board of Directors confirms that the Company has complied with the above requirements in preparing the financial statements.</t>
        </is>
      </c>
      <c r="C797" s="6" t="inlineStr">
        <is>
          <t>董事会确认，公司在编制财务报表过程中已遵守上述要求。</t>
        </is>
      </c>
      <c r="D797" s="6" t="inlineStr">
        <is>
          <t>董事會確認，公司在編製財務報表過程中已遵守上述要求。</t>
        </is>
      </c>
    </row>
    <row r="798" customFormat="1" s="8">
      <c r="A798" s="6" t="inlineStr">
        <is>
          <t>Hội đồng Thành viên</t>
        </is>
      </c>
      <c r="B798" s="6" t="inlineStr">
        <is>
          <t>The Board of Members</t>
        </is>
      </c>
      <c r="C798" s="6" t="inlineStr">
        <is>
          <t>董事会</t>
        </is>
      </c>
      <c r="D798" s="6" t="inlineStr">
        <is>
          <t>董事會</t>
        </is>
      </c>
    </row>
    <row r="799" ht="96.59999999999999" customFormat="1" customHeight="1" s="8">
      <c r="A799" s="6" t="inlineStr">
        <is>
          <t xml:space="preserve">Hội đồng Thành viên chịu trách nhiệm đảm bảo rằng sổ sách kế toán được ghi chép một cách phù hợp để phản ánh một cách hợp lý tình hình tài chính của Công ty ở bất kỳ thời điểm nào. </t>
        </is>
      </c>
      <c r="B799" s="6" t="inlineStr">
        <is>
          <t xml:space="preserve">The Board of Members is responsible for ensuring that proper accounting records are kept, which disclose, with reasonable accuracy at any time, the financial position of the Company. </t>
        </is>
      </c>
      <c r="C799" s="6" t="inlineStr">
        <is>
          <t>董事会应负责保证会计账簿适当地记载且公允地反映公司在某个时间点的财务状况。</t>
        </is>
      </c>
      <c r="D799" s="6" t="inlineStr">
        <is>
          <t>董事會應負責保證會計帳簿適當地記載且公允地反映公司於某個時間點之財務狀況。</t>
        </is>
      </c>
    </row>
    <row r="800" ht="262.2" customFormat="1" customHeight="1" s="8">
      <c r="A800" s="6" t="inlineStr">
        <is>
          <t>Hội đồng Thành viên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mà Hội đồng Thành viên xác định là cần thiết để đảm bảo cho việc lập và trình bày Báo cáo tài chính không có sai sót trọng yếu do gian lận hoặc nhầm lẫn.</t>
        </is>
      </c>
      <c r="B800" s="6" t="inlineStr">
        <is>
          <t>The Board of Members is responsible for the preparation and fair presentation of these financial statements in accordance with Vietnamese Accounting Standards, the Vietnamese Enterprise Accounting System and applicable regulations relevant to the preparation and presentation of financial statements and for such internal control as the Board of Members determines is necessary to enable the preparation of financial statements that are free from material misstatement, whether due to fraud or error.</t>
        </is>
      </c>
      <c r="C800" s="6" t="inlineStr">
        <is>
          <t>公司董事会负责按照《越南会计准则》、《越南企业会计制度》以及财务报表编制和列报的相关法规编制财务报表，并使其实现公允反映，以及对董事会确定必要的内部控制负有责任，以使财务报表的编制与列报不存在由于舞弊或错误导致的重大错报。</t>
        </is>
      </c>
      <c r="D800" s="6" t="inlineStr">
        <is>
          <t>公司董事會負責按照《越南會計準則》、《越南企業會計制度》以及財務報表編製及列報之相關法規編製財務報表，並使其實現公允反映，以及對董事會確定必要之內部控制負有責任，以使財務報表之編製與列報不存在由於舞弊或錯誤導致之重大錯報。</t>
        </is>
      </c>
    </row>
    <row r="801" ht="151.8" customFormat="1" customHeight="1" s="8">
      <c r="A801" s="6" t="inlineStr">
        <is>
          <t>Hội đồng Thành viên Công ty có trách nhiệm lập Báo cáo tài chính từng năm, phản ánh một cách trung thực và hợp lý tình hình tài chính của Công ty, cũng như kết quả hoạt động kinh doanh và tình hình lưu chuyển tiền tệ trong năm. Trong việc lập Báo cáo tài chính này, Hội đồng Thành viên được yêu cầu phải:</t>
        </is>
      </c>
      <c r="B801" s="6" t="inlineStr">
        <is>
          <t>The Board of Members is responsible for preparing the financial statements of each fiscal year, which give a true and fair view of the state of affairs of the Company and of its operations and cash flows for the year. In preparing those financial statements, the Board of Members is required to:</t>
        </is>
      </c>
      <c r="C801" s="6" t="inlineStr">
        <is>
          <t>公司董事会应负责编制每年度的财务报表，并使其真实、公允地反映公司年度内的财务状况、营业活动结果和现金流量状况。对于本财务报表的编制，董事会必须：</t>
        </is>
      </c>
      <c r="D801" s="6" t="inlineStr">
        <is>
          <t>公司董事會應負責編製每年度之財務報表，並使其真實、公允地反映公司年度內之財務狀況、營業活動結果以及現金流量狀況。對於本財務報表之編製，董事會必須：</t>
        </is>
      </c>
    </row>
    <row r="802" ht="96.59999999999999" customFormat="1" customHeight="1" s="8">
      <c r="A802" s="6" t="inlineStr">
        <is>
          <t>Hội đồng Thành viên cũng chịu trách nhiệm đảm bảo an toàn cho tài sản của Công ty và vì vậy thực hiện các biện pháp thích hợp để ngăn chặn và phát hiện các hành vi gian lận và sai phạm khác.</t>
        </is>
      </c>
      <c r="B802" s="6" t="inlineStr">
        <is>
          <t>The Board of Members is also responsible for safeguarding the assets of the Company and hence for taking reasonable steps for the prevention and detection of fraud and other irregularities.</t>
        </is>
      </c>
      <c r="C802" s="6" t="inlineStr">
        <is>
          <t>董事会亦负责确保公司财产的安全，所以已采取适当措施以防止或发现舞弊及其他违法行为。</t>
        </is>
      </c>
      <c r="D802" s="6" t="inlineStr">
        <is>
          <t>董事會亦負責確保公司財產之安全，所以已採取適當措施以防止或發現舞弊及其他違法行為。</t>
        </is>
      </c>
    </row>
    <row r="803" ht="69" customFormat="1" customHeight="1" s="8">
      <c r="A803" s="6" t="inlineStr">
        <is>
          <t>Hội đồng Thành viên xác nhận rằng Công ty đã tuân thủ các yêu cầu nêu trên trong việc lập Báo cáo tài chính.</t>
        </is>
      </c>
      <c r="B803" s="6" t="inlineStr">
        <is>
          <t>The Board of Members confirms that the Company has complied with the above requirements in preparing the financial statements.</t>
        </is>
      </c>
      <c r="C803" s="6" t="inlineStr">
        <is>
          <t>董事会确认，公司在编制财务报表过程中已遵守上述要求。</t>
        </is>
      </c>
      <c r="D803" s="6" t="inlineStr">
        <is>
          <t>董事會確認，公司在編製財務報表過程中已遵守上述要求。</t>
        </is>
      </c>
    </row>
    <row r="804" customFormat="1" s="8">
      <c r="A804" s="6" t="inlineStr">
        <is>
          <t>Hợp đồng</t>
        </is>
      </c>
      <c r="B804" s="6" t="inlineStr">
        <is>
          <t>Contract</t>
        </is>
      </c>
      <c r="C804" s="6" t="inlineStr">
        <is>
          <t>合同</t>
        </is>
      </c>
      <c r="D804" s="6" t="inlineStr">
        <is>
          <t>合約</t>
        </is>
      </c>
    </row>
    <row r="805" customFormat="1" s="8">
      <c r="A805" s="6" t="inlineStr">
        <is>
          <t>Kế toán trưởng</t>
        </is>
      </c>
      <c r="B805" s="6" t="inlineStr">
        <is>
          <t>Chief Accountant</t>
        </is>
      </c>
      <c r="C805" s="6" t="inlineStr">
        <is>
          <t>会计长</t>
        </is>
      </c>
      <c r="D805" s="6" t="inlineStr">
        <is>
          <t>會計長</t>
        </is>
      </c>
    </row>
    <row r="806" ht="27.6" customFormat="1" customHeight="1" s="8">
      <c r="A806" s="6" t="inlineStr">
        <is>
          <t>Kế toán trưởng kiêm người lập biểu</t>
        </is>
      </c>
      <c r="B806" s="6" t="inlineStr">
        <is>
          <t>Chief Accountant cum In charge of report</t>
        </is>
      </c>
      <c r="C806" s="6" t="inlineStr">
        <is>
          <t>制表人兼会计长</t>
        </is>
      </c>
      <c r="D806" s="6" t="inlineStr">
        <is>
          <t>製表人兼會計長</t>
        </is>
      </c>
    </row>
    <row r="807" ht="27.6" customFormat="1" customHeight="1" s="8">
      <c r="A807" s="6" t="inlineStr">
        <is>
          <t>Khả năng so sánh thông tin trên Báo cáo tài chính</t>
        </is>
      </c>
      <c r="B807" s="6" t="inlineStr">
        <is>
          <t>Comparability of disclosures</t>
        </is>
      </c>
      <c r="C807" s="6" t="inlineStr">
        <is>
          <t>财务报表可比性</t>
        </is>
      </c>
      <c r="D807" s="6" t="inlineStr">
        <is>
          <t>財務報表可比性</t>
        </is>
      </c>
    </row>
    <row r="808" customFormat="1" s="8">
      <c r="A808" s="6" t="inlineStr">
        <is>
          <t>Khác</t>
        </is>
      </c>
      <c r="B808" s="6" t="inlineStr">
        <is>
          <t>Others</t>
        </is>
      </c>
      <c r="C808" s="6" t="inlineStr">
        <is>
          <t>其他</t>
        </is>
      </c>
      <c r="D808" s="6" t="inlineStr">
        <is>
          <t>其他</t>
        </is>
      </c>
    </row>
    <row r="809" customFormat="1" s="8">
      <c r="A809" s="6" t="inlineStr">
        <is>
          <t>Khách hàng khác</t>
        </is>
      </c>
      <c r="B809" s="6" t="inlineStr">
        <is>
          <t>Others</t>
        </is>
      </c>
      <c r="C809" s="6" t="inlineStr">
        <is>
          <t>其他</t>
        </is>
      </c>
      <c r="D809" s="6" t="inlineStr">
        <is>
          <t>其他</t>
        </is>
      </c>
    </row>
    <row r="810" ht="96.59999999999999" customFormat="1" customHeight="1" s="8">
      <c r="A810" s="6" t="inlineStr">
        <is>
          <t>Khấu hao được tính theo phương pháp đường thẳng dựa trên thời gian hữu dụng ước tính. Thời gian hữu dụng ước tính của các loại tài sản cụ thể như sau:</t>
        </is>
      </c>
      <c r="B810" s="6" t="inlineStr">
        <is>
          <t>Depreciation is charged so as to write off the cost over their estimated useful lives according to the straight-line method. Their estimated useful lives are shown specifically as follows:</t>
        </is>
      </c>
      <c r="C810" s="6" t="inlineStr">
        <is>
          <t>有形固定资产按照估计耐用年限采用直线法提列折旧。各类固定资产耐用年限范围如下：</t>
        </is>
      </c>
      <c r="D810" s="6" t="inlineStr">
        <is>
          <t>有形固定資產按照估計耐用年限採用直線法提列折舊。各類固定資產耐用年限範圍如下：</t>
        </is>
      </c>
    </row>
    <row r="811" ht="27.6" customFormat="1" customHeight="1" s="8">
      <c r="A811" s="6" t="inlineStr">
        <is>
          <t>Khấu hao lũy kế</t>
        </is>
      </c>
      <c r="B811" s="6" t="inlineStr">
        <is>
          <t>Accumulated depreciation-chọn-Accumulated amortisation</t>
        </is>
      </c>
      <c r="C811" s="6" t="inlineStr">
        <is>
          <t>累计折旧值</t>
        </is>
      </c>
      <c r="D811" s="6" t="inlineStr">
        <is>
          <t>累計折舊值</t>
        </is>
      </c>
    </row>
    <row r="812" customFormat="1" s="8">
      <c r="A812" s="6" t="inlineStr">
        <is>
          <t>Khấu hao tài sản cố định</t>
        </is>
      </c>
      <c r="B812" s="6" t="inlineStr">
        <is>
          <t>Depreciation and amortisation</t>
        </is>
      </c>
      <c r="C812" s="6" t="inlineStr">
        <is>
          <t>固定资产折旧</t>
        </is>
      </c>
      <c r="D812" s="6" t="inlineStr">
        <is>
          <t>固定資產折舊</t>
        </is>
      </c>
    </row>
    <row r="813" customFormat="1" s="8">
      <c r="A813" s="6" t="inlineStr">
        <is>
          <t>Khấu hao trong năm</t>
        </is>
      </c>
      <c r="B813" s="14" t="inlineStr">
        <is>
          <t>Charge for the year</t>
        </is>
      </c>
      <c r="C813" s="6" t="inlineStr">
        <is>
          <t>年度内折旧值</t>
        </is>
      </c>
      <c r="D813" s="6" t="inlineStr">
        <is>
          <t>年度內折舊值</t>
        </is>
      </c>
    </row>
    <row r="814" ht="409.6" customFormat="1" customHeight="1" s="8">
      <c r="A814" s="6" t="inlineStr">
        <is>
          <t>Khi kết quả thực hiện hợp đồng được ước tính một cách đáng tin cậy, doanh thu và chi phí liên quan đến hợp đồng được ghi nhận tương ứng với phần công việc đã hoàn thành do Công ty tự xác định vào ngày kết thúc năm tài chính. Đối với các hợp đồng xây dựng qui định nhà thầu được thanh toán theo tiến độ kế hoạch, doanh thu và chi phí liên quan đến hợp đồng được ghi nhận tương ứng với phần công việc đã hoàn thành được khách hàng xác nhận và được phản ánh trên hóa đơn đã lập Đối với các hợp đồng xây dựng qui định nhà thầu được thanh toán theo giá trị khối lượng thực hiện. Các khoản tăng, giảm khối lượng xây lắp, các khoản thu bồi thường và các khoản thu khác chỉ được ghi nhận doanh thu khi đã được thống nhất với khách hàng.</t>
        </is>
      </c>
      <c r="B814" s="14" t="inlineStr">
        <is>
          <t>When the outcome of construction contract can be estimated reliably, contract revenue and costs associated with the construction contract are recognized as revenue and expenses respectively by reference to the stage of completion of the contract activity as determined by the Company on the ended date of fiscal year. Where it is specified in the contract that progress payments are made as originally agreed, contract revenue and costs associated with the construction contract are recognized as revenue and expenses respectively by reference to the amount of work completed as certified by the customers in the invoice. Where it is specified that payments are made by reference to the amount of work completed, variance in the contract work, claims and incentive payments are included to the extent that they have been agreed with the customers.</t>
        </is>
      </c>
      <c r="C814" s="6" t="inlineStr">
        <is>
          <t>在履约结果能够可靠估计时，与工程合同有关的收入与成本可以按照由公司于财务年度结束日确定的已完成工作量认列入账。若工程合同中规定承包商按照工程进度付款【若工程合同中规定承包商按照已完成工程量付款】，则与工程合同有关的收入与成本可以按照由客户确认且在已开立发票上列示的已完成工作量。建筑工程量增减、各项赔偿金以及其他应收款，应与客户达成共识后列入工程收入。</t>
        </is>
      </c>
      <c r="D814" s="6" t="inlineStr">
        <is>
          <t>在履約結果能夠可靠估計時，與工程合約有關的收入與成本可以按照由公司於財務年度結束日確定之已完成工作量認列入帳。若工程合約中規定承包商按照工程進度付款【若工程合約中規定承包商按照已完成工程量付款】，則與工程合約有關的收入與成本可以按照由客戶確認且在已開立發票上列示的已完成工作量。建築工程量增減、各項賠償金以及其他應收款，應與客戶達成共識後列入工程收入。</t>
        </is>
      </c>
    </row>
    <row r="815" ht="138" customFormat="1" customHeight="1" s="8">
      <c r="A815" s="6" t="inlineStr">
        <is>
          <t>Khi kết quả thực hiện hợp đồng xây dựng không thể ước tính được một cách đáng tin cậy, doanh thu chỉ được ghi nhận tương đương với chi phí của hợp đồng đã phát sinh mà việc hoàn trả là tương đối chắc chắn. Chi phí của hợp đồng chỉ được ghi nhận vào chi phí khi đã phát sinh.</t>
        </is>
      </c>
      <c r="B815" s="6" t="inlineStr">
        <is>
          <t>When the outcome of construction contract cannot be estimated reliably, revenue is recognized only to the extent of contract costs incurred that it is probable that these costs will be recoverable. Contract costs are only recognized as expenses in the period in which they are incurred.</t>
        </is>
      </c>
      <c r="C815" s="6" t="inlineStr">
        <is>
          <t>在履约结果不能可靠估计时，工程收入仅在由于履行合同而产生的相应成本的偿付义务能够可靠确定时以该成本金额认列入账。履约成本仅在实际发生时列入工程成本（费用）。</t>
        </is>
      </c>
      <c r="D815" s="6" t="inlineStr">
        <is>
          <t>在履約結果不能可靠估計時，工程收入僅在由於履行合約而產生的相應成本的償付義務能夠可靠確定時以該成本金額認列入帳。履約成本僅在實際發生時列入工程成本（費用）。</t>
        </is>
      </c>
    </row>
    <row r="816" ht="110.4" customFormat="1" customHeight="1" s="8">
      <c r="A816" s="6" t="inlineStr">
        <is>
          <t>Khi tài sản cố định hữu hình được nhượng bán hay thanh lý, nguyên giá và giá trị hao mòn lũy kế được xóa sổ và lãi, lỗ phát sinh do nhượng bán hay thanh lý được ghi nhận vào thu nhập hay chi phí trong kỳ.</t>
        </is>
      </c>
      <c r="B816" s="6" t="inlineStr">
        <is>
          <t>In case of transfer or disposal of tangible fixed assets, the costs and accumulated depreciation are written off while the profit or loss from the transfer or liquidation is recorded into income or expenses in the fiscal year.</t>
        </is>
      </c>
      <c r="C816" s="6" t="inlineStr">
        <is>
          <t>在有形固定资产出售、转让或处置时，资产原始成本及累计折旧得以冲销，而资产处置损益应列入当期收入或支出。</t>
        </is>
      </c>
      <c r="D816" s="6" t="inlineStr">
        <is>
          <t>在有形固定資產出售、轉讓或處分時，資產原始成本及累計折舊得以沖銷，而資產處置損益應列入當期收入或支出。</t>
        </is>
      </c>
    </row>
    <row r="817" ht="207" customFormat="1" customHeight="1" s="8">
      <c r="A817" s="6" t="inlineStr">
        <is>
          <t>Khoản dự phòng phải thu khó đòi thể hiện các số tiền không thu được ước tính, được lập cho những khoản phải thu đã quá hạn thanh toán từ sáu tháng trở lên hoặc khi có những bằng chứng khách quan rằng Công ty không thể thu được tất cả các số tiền theo điều khoản thỏa thuận ban đầu. Tăng hoặc giảm số dư dự phòng phải thu khó đòi được hạch toán vào chi phí quản lý doanh nghiệp trong kỳ.</t>
        </is>
      </c>
      <c r="B817" s="6" t="inlineStr">
        <is>
          <t>Provisions for doubtful debts of receivables represent the unrecoverable amounts which are estimated for overdue amounts from above six months or when there is objective evidence that the Company will not be able to collect all amounts due according to the original terms of the receivables. Increase or decrease of the provisions is recognized in the general and administration expenses of the period.</t>
        </is>
      </c>
      <c r="C817" s="6" t="inlineStr">
        <is>
          <t>坏帐准备（备抵呆账）反映无法收回的应收帐款的预计金额，其乃对逾期六个月以上或有客观证据显示无法按照原来约定条款及金额收回的应收帐款预提的金额。坏帐准备（备抵呆账）增加或减少金额应列入当期营业管理费用。</t>
        </is>
      </c>
      <c r="D817" s="6" t="inlineStr">
        <is>
          <t>壞帳準備（備抵呆帳）反映無法收回的應收帳款之預計金額，其乃對逾期六個月以上或有客觀證據顯示無法按照原來約定條款及金額收回的應收帳款預提之金額。壞帳準備（備抵呆帳）增加或減少金額應列入當期營業管理費用。</t>
        </is>
      </c>
    </row>
    <row r="818" ht="27.6" customFormat="1" customHeight="1" s="8">
      <c r="A818" s="6" t="inlineStr">
        <is>
          <t>Khoản nợ phải trả sau 12 tháng</t>
        </is>
      </c>
      <c r="B818" s="6" t="inlineStr">
        <is>
          <t>Amount due for settlement after 12 months</t>
        </is>
      </c>
      <c r="C818" s="6" t="inlineStr">
        <is>
          <t>十二个月后到期的应付债款</t>
        </is>
      </c>
      <c r="D818" s="6" t="inlineStr">
        <is>
          <t>十二個月後到期的應付債款</t>
        </is>
      </c>
    </row>
    <row r="819" ht="110.4" customFormat="1" customHeight="1" s="8">
      <c r="A819" s="6" t="inlineStr">
        <is>
          <t>Khoản phải thu về cho vay phản ánh các khoản cho vay (không bao gồm các nội dung được phản ánh ở chỉ tiêu “Đầu tư nắm giữ đến ngày đáo hạn”) có kỳ hạn như các khoản cho vay bằng khế ước, hợp đồng vay giữa hai bên.</t>
        </is>
      </c>
      <c r="B819" s="6" t="inlineStr">
        <is>
          <t>Loans receivable reflect term loans (not including the contents reflected in the item “Held-to-maturity investments”) such as loans by agreements, contracts between two parties.</t>
        </is>
      </c>
      <c r="C819" s="6" t="inlineStr">
        <is>
          <t>应收贷款反映各项有期贷款（不包含「持有至到期投资」项下附注内容），如以双方契约或双方合同订立的各项贷款（出借款）或放款。</t>
        </is>
      </c>
      <c r="D819" s="6" t="inlineStr">
        <is>
          <t>應收貸款反映各項有期貸款（不包含「持有至到期投資」項下附註內容），如以雙方契約或雙方合約訂立之各項貸款（出借款）或放款。</t>
        </is>
      </c>
    </row>
    <row r="820" ht="27.6" customFormat="1" customHeight="1" s="8">
      <c r="A820" s="6" t="inlineStr">
        <is>
          <t>Khoản trả trước và chiết khấu được hưởng của khách hàng</t>
        </is>
      </c>
      <c r="B820" s="6" t="inlineStr">
        <is>
          <t>Prepaid amounts and discounts received by customers</t>
        </is>
      </c>
      <c r="C820" s="6" t="inlineStr">
        <is>
          <t>客户预付账款及折扣款</t>
        </is>
      </c>
      <c r="D820" s="6" t="inlineStr">
        <is>
          <t>客戶預付賬款及折扣款</t>
        </is>
      </c>
    </row>
    <row r="821" ht="96.59999999999999" customFormat="1" customHeight="1" s="8">
      <c r="A821" s="6" t="inlineStr">
        <is>
          <t>Khoản trợ cấp thôi việc trích trước này được sử dụng để trả trợ cấp thôi việc cho người lao động khi chấm dứt hợp đồng lao động theo Điều 48 của Bộ luật Lao động.</t>
        </is>
      </c>
      <c r="B821" s="6" t="inlineStr">
        <is>
          <t>Accrual for severance allowances is used to pay severance allowances to employees upon termination of their employment contracts in accordance with Article 48 of the Labor Code.</t>
        </is>
      </c>
      <c r="C821" s="6" t="inlineStr">
        <is>
          <t>预提资遣费是用于公司终止劳动合同时依《劳动法》第48条向职工支付离职补偿金。</t>
        </is>
      </c>
      <c r="D821" s="6" t="inlineStr">
        <is>
          <t>預提資遣費係用於公司終止勞動合約時依《勞動法》第48條向職工支付離職補償金。</t>
        </is>
      </c>
    </row>
    <row r="822" ht="96.59999999999999" customFormat="1" customHeight="1" s="8">
      <c r="A822" s="6" t="inlineStr">
        <is>
          <t>Khoản trợ cấp thôi việc trích trước này được sử dụng để trả trợ cấp thôi việc cho người lao động khi chấm dứt hợp đồng lao động theo Điều 48 của Bộ luật lao động.</t>
        </is>
      </c>
      <c r="B822" s="6" t="inlineStr">
        <is>
          <t>Accrual for severance allowances is used to pay severance allowances to employees upon termination of their employment contracts in accordance with Article 48 of the Labor Code.</t>
        </is>
      </c>
      <c r="C822" s="6" t="inlineStr">
        <is>
          <t>预提资遣费是用于公司终止劳动合同时依《劳动法》第48条向职工支付离职补偿金。</t>
        </is>
      </c>
      <c r="D822" s="6" t="inlineStr">
        <is>
          <t>預提資遣費係用於公司終止勞動合約時依《勞動法》第48條向職工支付離職補償金。</t>
        </is>
      </c>
    </row>
    <row r="823" ht="27.6" customFormat="1" customHeight="1" s="8">
      <c r="A823" s="6" t="inlineStr">
        <is>
          <t>Khoản vay dài hạn này được hoàn trả như sau:</t>
        </is>
      </c>
      <c r="B823" s="6" t="inlineStr">
        <is>
          <t>The long-term borrowings are repayable as follows:</t>
        </is>
      </c>
      <c r="C823" s="6" t="inlineStr">
        <is>
          <t>长期借款偿还如下：</t>
        </is>
      </c>
      <c r="D823" s="6" t="inlineStr">
        <is>
          <t>長期借款償還如下：</t>
        </is>
      </c>
    </row>
    <row r="824" customFormat="1" s="8">
      <c r="A824" s="6" t="inlineStr">
        <is>
          <t>không</t>
        </is>
      </c>
      <c r="B824" s="6" t="inlineStr">
        <is>
          <t>none</t>
        </is>
      </c>
      <c r="C824" s="6" t="inlineStr">
        <is>
          <t>无</t>
        </is>
      </c>
      <c r="D824" s="6" t="inlineStr">
        <is>
          <t>無</t>
        </is>
      </c>
    </row>
    <row r="825" customFormat="1" s="8">
      <c r="A825" s="6" t="inlineStr">
        <is>
          <t>Không</t>
        </is>
      </c>
      <c r="B825" s="14" t="inlineStr">
        <is>
          <t>None</t>
        </is>
      </c>
      <c r="C825" s="6" t="inlineStr">
        <is>
          <t>无</t>
        </is>
      </c>
      <c r="D825" s="6" t="inlineStr">
        <is>
          <t>無</t>
        </is>
      </c>
    </row>
    <row r="826" customFormat="1" s="8">
      <c r="A826" s="6" t="inlineStr">
        <is>
          <t>không có</t>
        </is>
      </c>
      <c r="B826" s="14" t="inlineStr">
        <is>
          <t>none</t>
        </is>
      </c>
      <c r="C826" s="6" t="inlineStr">
        <is>
          <t>无</t>
        </is>
      </c>
      <c r="D826" s="6" t="inlineStr">
        <is>
          <t>無</t>
        </is>
      </c>
    </row>
    <row r="827" customFormat="1" s="8">
      <c r="A827" s="6" t="inlineStr">
        <is>
          <t>Không có</t>
        </is>
      </c>
      <c r="B827" s="6" t="inlineStr">
        <is>
          <t>None</t>
        </is>
      </c>
      <c r="C827" s="6" t="inlineStr">
        <is>
          <t>无</t>
        </is>
      </c>
      <c r="D827" s="6" t="inlineStr">
        <is>
          <t>無</t>
        </is>
      </c>
    </row>
    <row r="828" ht="82.8" customFormat="1" customHeight="1" s="8">
      <c r="A828" s="6" t="inlineStr">
        <is>
          <t>Không có sự kiện quan trọng nào xảy ra sau ngày khóa sổ kế toán lập Báo cáo tài chính yêu cầu phải điều chỉnh hoặc công bố trong Báo cáo tài chính.</t>
        </is>
      </c>
      <c r="B828" s="6" t="inlineStr">
        <is>
          <t>There have been no significant events occurring after the balance sheet date which would require adjustments or disclosures to be made to the financial statements.</t>
        </is>
      </c>
      <c r="C828" s="6" t="inlineStr">
        <is>
          <t>在会计结账及财务报表编制日之后，不发生应于财务报表中得以调整或揭露的任何重大事项。</t>
        </is>
      </c>
      <c r="D828" s="6" t="inlineStr">
        <is>
          <t>在會計結帳及財務報表編製日之後，不發生應於財務報表中得以調整或揭露的任何重大事項。</t>
        </is>
      </c>
    </row>
    <row r="829" ht="27.6" customFormat="1" customHeight="1" s="8">
      <c r="A829" s="6" t="inlineStr">
        <is>
          <t>Không quá 6 tháng đối với từng giấy nhận nợ</t>
        </is>
      </c>
      <c r="B829" s="6" t="inlineStr">
        <is>
          <t>Not more than 6 months for each promissory note</t>
        </is>
      </c>
      <c r="C829" s="6" t="inlineStr">
        <is>
          <t>自融通票据时点六个月以内</t>
        </is>
      </c>
      <c r="D829" s="6" t="inlineStr">
        <is>
          <t>自融通票據時點六個月以內</t>
        </is>
      </c>
    </row>
    <row r="830" customFormat="1" s="8">
      <c r="A830" s="6" t="inlineStr">
        <is>
          <t>Không số</t>
        </is>
      </c>
      <c r="B830" s="6" t="inlineStr">
        <is>
          <t>With no contract number</t>
        </is>
      </c>
      <c r="C830" s="6" t="inlineStr">
        <is>
          <t>无</t>
        </is>
      </c>
      <c r="D830" s="6" t="inlineStr">
        <is>
          <t>無</t>
        </is>
      </c>
    </row>
    <row r="831" customFormat="1" s="8">
      <c r="A831" s="6" t="inlineStr">
        <is>
          <t>Kiểm toán viên</t>
        </is>
      </c>
      <c r="B831" s="6" t="inlineStr">
        <is>
          <t>Auditor</t>
        </is>
      </c>
      <c r="C831" s="6" t="inlineStr">
        <is>
          <t>注册会计师</t>
        </is>
      </c>
      <c r="D831" s="6" t="inlineStr">
        <is>
          <t>註冊會計師</t>
        </is>
      </c>
    </row>
    <row r="832" customFormat="1" s="8">
      <c r="A832" s="6" t="inlineStr">
        <is>
          <t>Kinh phí công đoàn</t>
        </is>
      </c>
      <c r="B832" s="6" t="inlineStr">
        <is>
          <t>Trade union fees</t>
        </is>
      </c>
      <c r="C832" s="6" t="inlineStr">
        <is>
          <t>工会经费</t>
        </is>
      </c>
      <c r="D832" s="6" t="inlineStr">
        <is>
          <t>工會經費</t>
        </is>
      </c>
    </row>
    <row r="833" customFormat="1" s="8">
      <c r="A833" s="6" t="inlineStr">
        <is>
          <t>Kỳ kế toán năm</t>
        </is>
      </c>
      <c r="B833" s="6" t="inlineStr">
        <is>
          <t>Fiscal year</t>
        </is>
      </c>
      <c r="C833" s="6" t="inlineStr">
        <is>
          <t>会计年度</t>
        </is>
      </c>
      <c r="D833" s="6" t="inlineStr">
        <is>
          <t>會計年度</t>
        </is>
      </c>
    </row>
    <row r="834" ht="41.4" customFormat="1" customHeight="1" s="8">
      <c r="A834" s="6" t="inlineStr">
        <is>
          <t>Kỳ kế toán năm của Công ty bắt đầu từ ngày 01 tháng 01 và kết thúc vào ngày 31 tháng 12.</t>
        </is>
      </c>
      <c r="B834" s="6" t="inlineStr">
        <is>
          <t>The Company’s fiscal year is from January 01 to December 31.</t>
        </is>
      </c>
      <c r="C834" s="6" t="inlineStr">
        <is>
          <t>公司会计年度自01月01日起至同年12月31日止。</t>
        </is>
      </c>
      <c r="D834" s="6" t="inlineStr">
        <is>
          <t>公司會計年度自01月01日起至同年12月31日止。</t>
        </is>
      </c>
    </row>
    <row r="835" ht="55.2" customFormat="1" customHeight="1" s="8">
      <c r="A835" s="6" t="inlineStr">
        <is>
          <t>Kỳ kế toán năm của Công ty bắt đầu từ ngày 01 tháng 04 năm trước và kết thúc vào ngày 31 tháng 03 năm sau.</t>
        </is>
      </c>
      <c r="B835" s="14" t="inlineStr">
        <is>
          <t>The Company’s fiscal year is from April 01 of the prior year to March 31 of the following year.</t>
        </is>
      </c>
      <c r="C835" s="6" t="inlineStr">
        <is>
          <t>公司会计年度自每年04月01日至次年03月31日止。</t>
        </is>
      </c>
      <c r="D835" s="6" t="inlineStr">
        <is>
          <t>公司會計年度自每年04月01日至次年03月31日止。</t>
        </is>
      </c>
    </row>
    <row r="836" ht="55.2" customFormat="1" customHeight="1" s="8">
      <c r="A836" s="6" t="inlineStr">
        <is>
          <t>Kỳ kế toán năm của Công ty bắt đầu từ ngày 01 tháng 07 năm trước và kết thúc vào ngày 30 tháng 06 năm sau.</t>
        </is>
      </c>
      <c r="B836" s="14" t="inlineStr">
        <is>
          <t>The Company’s fiscal year is July 01 of the prior year to June 30 of the following year.</t>
        </is>
      </c>
      <c r="C836" s="6" t="inlineStr">
        <is>
          <t>公司会计年度自每年07月01日至次年06月30日止。</t>
        </is>
      </c>
      <c r="D836" s="6" t="inlineStr">
        <is>
          <t>公司會計年度自每年07月01日至次年06月30日止。</t>
        </is>
      </c>
    </row>
    <row r="837" ht="55.2" customFormat="1" customHeight="1" s="8">
      <c r="A837" s="6" t="inlineStr">
        <is>
          <t>Kỳ kế toán năm của Công ty bắt đầu từ ngày 01 tháng 10 năm trước và kết thúc vào ngày 30 tháng 09 năm sau.</t>
        </is>
      </c>
      <c r="B837" s="6" t="inlineStr">
        <is>
          <t>The Company’s fiscal year is from October 01 of the prior year to September 30 of the following year.</t>
        </is>
      </c>
      <c r="C837" s="6" t="inlineStr">
        <is>
          <t>公司会计年度自每年10月01日至次年09月30日止。</t>
        </is>
      </c>
      <c r="D837" s="6" t="inlineStr">
        <is>
          <t>公司會計年度自每年10月01日至次年09月30日止。</t>
        </is>
      </c>
    </row>
    <row r="838" customFormat="1" s="8">
      <c r="A838" s="6" t="inlineStr">
        <is>
          <t>Ký quỹ</t>
        </is>
      </c>
      <c r="B838" s="6" t="inlineStr">
        <is>
          <t>Deposits</t>
        </is>
      </c>
      <c r="C838" s="6" t="inlineStr">
        <is>
          <t>保证金</t>
        </is>
      </c>
      <c r="D838" s="6" t="inlineStr">
        <is>
          <t>保證金</t>
        </is>
      </c>
    </row>
    <row r="839" ht="27.6" customFormat="1" customHeight="1" s="8">
      <c r="A839" s="6" t="inlineStr">
        <is>
          <t>Ký quỹ thuê văn phòng, nhà xưởng</t>
        </is>
      </c>
      <c r="B839" s="6" t="inlineStr">
        <is>
          <t>Deposit for office and factory leases</t>
        </is>
      </c>
      <c r="C839" s="6" t="inlineStr">
        <is>
          <t>厂房、办公室租赁存出保证金</t>
        </is>
      </c>
      <c r="D839" s="6" t="inlineStr">
        <is>
          <t>廠房、辦公室租賃存出保證金</t>
        </is>
      </c>
    </row>
    <row r="840" ht="27.6" customFormat="1" customHeight="1" s="8">
      <c r="A840" s="6" t="inlineStr">
        <is>
          <t>Ký quỹ, ký cược dài hạn</t>
        </is>
      </c>
      <c r="B840" s="6" t="inlineStr">
        <is>
          <t>Long-term deposits and mortgages</t>
        </is>
      </c>
      <c r="C840" s="6" t="inlineStr">
        <is>
          <t>长期保证金</t>
        </is>
      </c>
      <c r="D840" s="6" t="inlineStr">
        <is>
          <t>長期保證金</t>
        </is>
      </c>
    </row>
    <row r="841" customFormat="1" s="8">
      <c r="A841" s="6" t="inlineStr">
        <is>
          <t>Lãi chênh lệch tỷ giá</t>
        </is>
      </c>
      <c r="B841" s="6" t="inlineStr">
        <is>
          <t>Gain on exchange rates</t>
        </is>
      </c>
      <c r="C841" s="6" t="inlineStr">
        <is>
          <t>汇兑收益</t>
        </is>
      </c>
      <c r="D841" s="6" t="inlineStr">
        <is>
          <t>匯兌收益</t>
        </is>
      </c>
    </row>
    <row r="842" ht="27.6" customFormat="1" customHeight="1" s="8">
      <c r="A842" s="6" t="inlineStr">
        <is>
          <t>Lãi chênh lệch tỷ giá do đánh giá lại cuối năm</t>
        </is>
      </c>
      <c r="B842" s="6" t="inlineStr">
        <is>
          <t>Foreign exchange gain from year-end revaluation</t>
        </is>
      </c>
      <c r="C842" s="6" t="inlineStr">
        <is>
          <t>年底重估的汇兑收益</t>
        </is>
      </c>
      <c r="D842" s="6" t="inlineStr">
        <is>
          <t>年底重估的匯兌收益</t>
        </is>
      </c>
    </row>
    <row r="843" ht="27.6" customFormat="1" customHeight="1" s="8">
      <c r="A843" s="6" t="inlineStr">
        <is>
          <t>Lãi chênh lệch tỷ giá phát sinh trong kỳ</t>
        </is>
      </c>
      <c r="B843" s="6" t="inlineStr">
        <is>
          <t>Foreign exchange gain during the period</t>
        </is>
      </c>
      <c r="C843" s="6" t="inlineStr">
        <is>
          <t>期间发生的汇兑收益</t>
        </is>
      </c>
      <c r="D843" s="6" t="inlineStr">
        <is>
          <t>期間發生的匯兌收益</t>
        </is>
      </c>
    </row>
    <row r="844" ht="27.6" customFormat="1" customHeight="1" s="8">
      <c r="A844" s="6" t="inlineStr">
        <is>
          <t>Lãi chênh lệch tỷ giá phát sinh trong năm</t>
        </is>
      </c>
      <c r="B844" s="6" t="inlineStr">
        <is>
          <t>Foreign exchange gain during the year</t>
        </is>
      </c>
      <c r="C844" s="6" t="inlineStr">
        <is>
          <t>期间发生的汇兑收益</t>
        </is>
      </c>
      <c r="D844" s="6" t="inlineStr">
        <is>
          <t>期間發生之匯兌收益</t>
        </is>
      </c>
    </row>
    <row r="845" customFormat="1" s="8">
      <c r="A845" s="6" t="inlineStr">
        <is>
          <t>Lãi cơ bản trên cổ phần</t>
        </is>
      </c>
      <c r="B845" s="6" t="inlineStr">
        <is>
          <t>Basic earnings per share</t>
        </is>
      </c>
      <c r="C845" s="6" t="inlineStr">
        <is>
          <t>基本每股收益</t>
        </is>
      </c>
      <c r="D845" s="6" t="inlineStr">
        <is>
          <t>基本每股收益</t>
        </is>
      </c>
    </row>
    <row r="846" customFormat="1" s="8">
      <c r="A846" s="6" t="inlineStr">
        <is>
          <t>Lãi dự thu</t>
        </is>
      </c>
      <c r="B846" s="6" t="inlineStr">
        <is>
          <t>Estimated interest receivable</t>
        </is>
      </c>
      <c r="C846" s="6" t="inlineStr">
        <is>
          <t>应计利息</t>
        </is>
      </c>
      <c r="D846" s="6" t="inlineStr">
        <is>
          <t>應計利息</t>
        </is>
      </c>
    </row>
    <row r="847" ht="27.6" customFormat="1" customHeight="1" s="8">
      <c r="A847" s="6" t="inlineStr">
        <is>
          <t>Lãi dự thu tiền gửi có kỳ hạn</t>
        </is>
      </c>
      <c r="B847" s="6" t="inlineStr">
        <is>
          <t>Estimated interest receivable from term deposits</t>
        </is>
      </c>
      <c r="C847" s="6" t="inlineStr">
        <is>
          <t>定期存款的应计利息</t>
        </is>
      </c>
      <c r="D847" s="6" t="inlineStr">
        <is>
          <t>定期存款之應計利息</t>
        </is>
      </c>
    </row>
    <row r="848" customFormat="1" s="8">
      <c r="A848" s="6" t="inlineStr">
        <is>
          <t>Lãi suất</t>
        </is>
      </c>
      <c r="B848" s="6" t="inlineStr">
        <is>
          <t>Interest</t>
        </is>
      </c>
      <c r="C848" s="6" t="inlineStr">
        <is>
          <t>利率</t>
        </is>
      </c>
      <c r="D848" s="6" t="inlineStr">
        <is>
          <t>利率</t>
        </is>
      </c>
    </row>
    <row r="849" customFormat="1" s="8">
      <c r="A849" s="6" t="inlineStr">
        <is>
          <t>Lãi suất (%/năm)</t>
        </is>
      </c>
      <c r="B849" s="14" t="inlineStr">
        <is>
          <t>Interest (% p.a.)</t>
        </is>
      </c>
      <c r="C849" s="6" t="inlineStr">
        <is>
          <t>利率（%/年）</t>
        </is>
      </c>
      <c r="D849" s="6" t="inlineStr">
        <is>
          <t>利率（%/年）</t>
        </is>
      </c>
    </row>
    <row r="850" customFormat="1" s="8">
      <c r="A850" s="6" t="inlineStr">
        <is>
          <t>Lãi suất/năm</t>
        </is>
      </c>
      <c r="B850" s="6" t="inlineStr">
        <is>
          <t>Interest per annum</t>
        </is>
      </c>
      <c r="C850" s="6" t="inlineStr">
        <is>
          <t>年利率</t>
        </is>
      </c>
      <c r="D850" s="6" t="inlineStr">
        <is>
          <t>年利率</t>
        </is>
      </c>
    </row>
    <row r="851" customFormat="1" s="8">
      <c r="A851" s="6" t="inlineStr">
        <is>
          <t>Lãi suy giảm trên cổ phần</t>
        </is>
      </c>
      <c r="B851" s="14" t="inlineStr">
        <is>
          <t>Diluted earnings per share</t>
        </is>
      </c>
      <c r="C851" s="6" t="inlineStr">
        <is>
          <t>稀释每股收益</t>
        </is>
      </c>
      <c r="D851" s="6" t="inlineStr">
        <is>
          <t>稀釋每股收益</t>
        </is>
      </c>
    </row>
    <row r="852" ht="27.6" customFormat="1" customHeight="1" s="8">
      <c r="A852" s="6" t="inlineStr">
        <is>
          <t>Lãi thanh lý, nhượng bán tài sản cố định</t>
        </is>
      </c>
      <c r="B852" s="6" t="inlineStr">
        <is>
          <t>Gain on disposal, transfer of fixed assets</t>
        </is>
      </c>
      <c r="C852" s="6" t="inlineStr">
        <is>
          <t>固定资产处置、出售或转让利得</t>
        </is>
      </c>
      <c r="D852" s="6" t="inlineStr">
        <is>
          <t>固定資產處分、出售或轉讓利得</t>
        </is>
      </c>
    </row>
    <row r="853" customFormat="1" s="8">
      <c r="A853" s="6" t="inlineStr">
        <is>
          <t>Lãi tiền gửi</t>
        </is>
      </c>
      <c r="B853" s="14" t="inlineStr">
        <is>
          <t xml:space="preserve">Deposit interest </t>
        </is>
      </c>
      <c r="C853" s="6" t="inlineStr">
        <is>
          <t>存款利息</t>
        </is>
      </c>
      <c r="D853" s="6" t="inlineStr">
        <is>
          <t>存款利息</t>
        </is>
      </c>
    </row>
    <row r="854" customFormat="1" s="8">
      <c r="A854" s="6" t="inlineStr">
        <is>
          <t>Lãi tiền gửi có kỳ hạn</t>
        </is>
      </c>
      <c r="B854" s="6" t="inlineStr">
        <is>
          <t>Interest on term deposits</t>
        </is>
      </c>
      <c r="C854" s="6" t="inlineStr">
        <is>
          <t>定期存款利息</t>
        </is>
      </c>
      <c r="D854" s="6" t="inlineStr">
        <is>
          <t>定期存款利息</t>
        </is>
      </c>
    </row>
    <row r="855" ht="27.6" customFormat="1" customHeight="1" s="8">
      <c r="A855" s="6" t="inlineStr">
        <is>
          <t>Lãi tiền gửi dự thu</t>
        </is>
      </c>
      <c r="B855" s="6" t="inlineStr">
        <is>
          <t>Estimated interest receivable from deposits</t>
        </is>
      </c>
      <c r="C855" s="6" t="inlineStr">
        <is>
          <t>银行存款的应计利息</t>
        </is>
      </c>
      <c r="D855" s="6" t="inlineStr">
        <is>
          <t>銀行存款之應計利息</t>
        </is>
      </c>
    </row>
    <row r="856" customFormat="1" s="8">
      <c r="A856" s="6" t="inlineStr">
        <is>
          <t>Lãi tiền gửi không kỳ hạn</t>
        </is>
      </c>
      <c r="B856" s="14" t="inlineStr">
        <is>
          <t>Interest on demand deposits</t>
        </is>
      </c>
      <c r="C856" s="6" t="inlineStr">
        <is>
          <t>活期存款利息</t>
        </is>
      </c>
      <c r="D856" s="6" t="inlineStr">
        <is>
          <t>活期存款利息</t>
        </is>
      </c>
    </row>
    <row r="857" ht="27.6" customFormat="1" customHeight="1" s="8">
      <c r="A857" s="6" t="inlineStr">
        <is>
          <t>Lãi tiền gửi ngân hàng có kỳ hạn</t>
        </is>
      </c>
      <c r="B857" s="6" t="inlineStr">
        <is>
          <t>Interest on bank term deposits</t>
        </is>
      </c>
      <c r="C857" s="6" t="inlineStr">
        <is>
          <t>定期银行存款利息</t>
        </is>
      </c>
      <c r="D857" s="6" t="inlineStr">
        <is>
          <t>定期銀行存款利息</t>
        </is>
      </c>
    </row>
    <row r="858" ht="27.6" customFormat="1" customHeight="1" s="8">
      <c r="A858" s="6" t="inlineStr">
        <is>
          <t>Lãi tiền gửi ngân hàng không kỳ hạn</t>
        </is>
      </c>
      <c r="B858" s="14" t="inlineStr">
        <is>
          <t>Interest on bank demand deposits</t>
        </is>
      </c>
      <c r="C858" s="6" t="inlineStr">
        <is>
          <t>活期银行存款利息</t>
        </is>
      </c>
      <c r="D858" s="6" t="inlineStr">
        <is>
          <t>活期銀行存款利息</t>
        </is>
      </c>
    </row>
    <row r="859" customFormat="1" s="8">
      <c r="A859" s="6" t="inlineStr">
        <is>
          <t>Lãi tiền gửi, tiền cho vay</t>
        </is>
      </c>
      <c r="B859" s="14" t="inlineStr">
        <is>
          <t>Interest on deposits and loans</t>
        </is>
      </c>
      <c r="C859" s="6" t="inlineStr">
        <is>
          <t>存款、放款利息</t>
        </is>
      </c>
      <c r="D859" s="6" t="inlineStr">
        <is>
          <t>存款、放款利息</t>
        </is>
      </c>
    </row>
    <row r="860" customFormat="1" s="8">
      <c r="A860" s="6" t="inlineStr">
        <is>
          <t>Lãi tiền vay</t>
        </is>
      </c>
      <c r="B860" s="6" t="inlineStr">
        <is>
          <t>Loan interest</t>
        </is>
      </c>
      <c r="C860" s="6" t="inlineStr">
        <is>
          <t>借款利息</t>
        </is>
      </c>
      <c r="D860" s="6" t="inlineStr">
        <is>
          <t>借款利息</t>
        </is>
      </c>
    </row>
    <row r="861" customFormat="1" s="8">
      <c r="A861" s="6" t="inlineStr">
        <is>
          <t>Lãi trên mỗi cổ phần</t>
        </is>
      </c>
      <c r="B861" s="6" t="inlineStr">
        <is>
          <t>Earnings per share</t>
        </is>
      </c>
      <c r="C861" s="6" t="inlineStr">
        <is>
          <t>每股收益</t>
        </is>
      </c>
      <c r="D861" s="6" t="inlineStr">
        <is>
          <t>每股收益</t>
        </is>
      </c>
    </row>
    <row r="862" ht="27.6" customFormat="1" customHeight="1" s="8">
      <c r="A862" s="6" t="inlineStr">
        <is>
          <t>Lãi tỷ giá hối đoái do đánh giá lại cuối năm</t>
        </is>
      </c>
      <c r="B862" s="6" t="inlineStr">
        <is>
          <t>Foreign exchange gain from year-end revaluation</t>
        </is>
      </c>
      <c r="C862" s="6" t="inlineStr">
        <is>
          <t>年底重估的汇兑收益</t>
        </is>
      </c>
      <c r="D862" s="6" t="inlineStr">
        <is>
          <t>年底重估之匯兌收益</t>
        </is>
      </c>
    </row>
    <row r="863" customFormat="1" s="8">
      <c r="A863" s="6" t="inlineStr">
        <is>
          <t>Lãi vay phải thu</t>
        </is>
      </c>
      <c r="B863" s="6" t="inlineStr">
        <is>
          <t>Interest receivable</t>
        </is>
      </c>
      <c r="C863" s="6" t="inlineStr">
        <is>
          <t>应收出借款利息</t>
        </is>
      </c>
      <c r="D863" s="6" t="inlineStr">
        <is>
          <t>應收出借款利息</t>
        </is>
      </c>
    </row>
    <row r="864" customFormat="1" s="8">
      <c r="A864" s="6" t="inlineStr">
        <is>
          <t>Lãi vay phải trả</t>
        </is>
      </c>
      <c r="B864" s="14" t="inlineStr">
        <is>
          <t>Interest payable</t>
        </is>
      </c>
      <c r="C864" s="6" t="inlineStr">
        <is>
          <t>应付借款利息</t>
        </is>
      </c>
      <c r="D864" s="6" t="inlineStr">
        <is>
          <t>應付出借款利息</t>
        </is>
      </c>
    </row>
    <row r="865" ht="55.2" customFormat="1" customHeight="1" s="8">
      <c r="A865" s="6" t="inlineStr">
        <is>
          <t>Lãi, lỗ chênh lệch tỷ giá hối đoái do đánh giá lại các khoản mục tiền tệ có gốc ngoại tệ</t>
        </is>
      </c>
      <c r="B865" s="6" t="inlineStr">
        <is>
          <t>Profits, losses of exchange rate differences from revaluation of accounts derived from foreign currencies</t>
        </is>
      </c>
      <c r="C865" s="6" t="inlineStr">
        <is>
          <t>外币货币性项目经外币重估后产生的汇兑损益</t>
        </is>
      </c>
      <c r="D865" s="6" t="inlineStr">
        <is>
          <t>外幣貨幣性項目經外幣重估後產生之匯兌損益</t>
        </is>
      </c>
    </row>
    <row r="866" ht="27.6" customFormat="1" customHeight="1" s="8">
      <c r="A866" s="6" t="inlineStr">
        <is>
          <t>Lãi, lỗ từ hoạt động đầu tư</t>
        </is>
      </c>
      <c r="B866" s="6" t="inlineStr">
        <is>
          <t>Profit, loss from investing activities</t>
        </is>
      </c>
      <c r="C866" s="6" t="inlineStr">
        <is>
          <t>投资活动利益或损失</t>
        </is>
      </c>
      <c r="D866" s="6" t="inlineStr">
        <is>
          <t>投資活動利益或損失</t>
        </is>
      </c>
    </row>
    <row r="867" ht="82.8" customFormat="1" customHeight="1" s="8">
      <c r="A867" s="6" t="inlineStr">
        <is>
          <t>Lập Báo cáo tài chính trên cơ sở hoạt động liên tục trừ trường hợp không thể cho rằng Công ty sẽ tiếp tục hoạt động kinh doanh.</t>
        </is>
      </c>
      <c r="B867" s="6" t="inlineStr">
        <is>
          <t>Prepare the financial statements on the going concern basis unless it is inappropriate to presume that the Company will continue in business.</t>
        </is>
      </c>
      <c r="C867" s="6" t="inlineStr">
        <is>
          <t>应在持续经营前提下编制财务报表，除非无法认定公司未来将持续营运。</t>
        </is>
      </c>
      <c r="D867" s="6" t="inlineStr">
        <is>
          <t>應在持續經營前提下編製財務報表，除非無法認定公司未來將持續營運。</t>
        </is>
      </c>
    </row>
    <row r="868" customFormat="1" s="8">
      <c r="A868" s="6" t="inlineStr">
        <is>
          <t>Lệ phí môn bài</t>
        </is>
      </c>
      <c r="B868" s="6" t="inlineStr">
        <is>
          <t>Licensing fee</t>
        </is>
      </c>
      <c r="C868" s="6" t="inlineStr">
        <is>
          <t>牌照规费</t>
        </is>
      </c>
      <c r="D868" s="6" t="inlineStr">
        <is>
          <t>牌照規費</t>
        </is>
      </c>
    </row>
    <row r="869" customFormat="1" s="8">
      <c r="A869" s="6" t="inlineStr">
        <is>
          <t>Lệ phí trước bạ nhà đất</t>
        </is>
      </c>
      <c r="B869" s="6" t="inlineStr">
        <is>
          <t>Property registration fee</t>
        </is>
      </c>
      <c r="C869" s="6" t="inlineStr">
        <is>
          <t>土地注册费用</t>
        </is>
      </c>
      <c r="D869" s="6" t="inlineStr">
        <is>
          <t>土地註冊費用</t>
        </is>
      </c>
    </row>
    <row r="870" customFormat="1" s="8">
      <c r="A870" s="6" t="inlineStr">
        <is>
          <t>Lỗ chênh lệch tỷ giá</t>
        </is>
      </c>
      <c r="B870" s="14" t="inlineStr">
        <is>
          <t>Loss on exchange rates</t>
        </is>
      </c>
      <c r="C870" s="6" t="inlineStr">
        <is>
          <t>汇兑损失</t>
        </is>
      </c>
      <c r="D870" s="6" t="inlineStr">
        <is>
          <t>匯兌損失</t>
        </is>
      </c>
    </row>
    <row r="871" ht="27.6" customFormat="1" customHeight="1" s="8">
      <c r="A871" s="6" t="inlineStr">
        <is>
          <t>Lỗ chênh lệch tỷ giá do đánh giá lại cuối năm</t>
        </is>
      </c>
      <c r="B871" s="14" t="inlineStr">
        <is>
          <t>Foreign exchange loss from year-end revaluation</t>
        </is>
      </c>
      <c r="C871" s="6" t="inlineStr">
        <is>
          <t>年底重估的汇兑损失</t>
        </is>
      </c>
      <c r="D871" s="6" t="inlineStr">
        <is>
          <t>年底重估的匯兌損失</t>
        </is>
      </c>
    </row>
    <row r="872" ht="27.6" customFormat="1" customHeight="1" s="8">
      <c r="A872" s="6" t="inlineStr">
        <is>
          <t>Lỗ chênh lệch tỷ giá phát sinh trong kỳ</t>
        </is>
      </c>
      <c r="B872" s="6" t="inlineStr">
        <is>
          <t>Foreign exchange loss during the period</t>
        </is>
      </c>
      <c r="C872" s="6" t="inlineStr">
        <is>
          <t>期间发生的汇兑损失</t>
        </is>
      </c>
      <c r="D872" s="6" t="inlineStr">
        <is>
          <t>期間發生的匯兌損失</t>
        </is>
      </c>
    </row>
    <row r="873" ht="27.6" customFormat="1" customHeight="1" s="8">
      <c r="A873" s="6" t="inlineStr">
        <is>
          <t>Lỗ chênh lệch tỷ giá phát sinh trong năm</t>
        </is>
      </c>
      <c r="B873" s="6" t="inlineStr">
        <is>
          <t>Foreign exchange loss during the year</t>
        </is>
      </c>
      <c r="C873" s="6" t="inlineStr">
        <is>
          <t>期间发生的汇兑损失</t>
        </is>
      </c>
      <c r="D873" s="6" t="inlineStr">
        <is>
          <t>期間發生之匯兌損失</t>
        </is>
      </c>
    </row>
    <row r="874" customFormat="1" s="8">
      <c r="A874" s="6" t="inlineStr">
        <is>
          <t>Lỗ đầu tư</t>
        </is>
      </c>
      <c r="B874" s="6" t="inlineStr">
        <is>
          <t>Loss on investment</t>
        </is>
      </c>
      <c r="C874" s="6" t="inlineStr">
        <is>
          <t>投资损失</t>
        </is>
      </c>
      <c r="D874" s="6" t="inlineStr">
        <is>
          <t>投資損失</t>
        </is>
      </c>
    </row>
    <row r="875" ht="27.6" customFormat="1" customHeight="1" s="8">
      <c r="A875" s="6" t="inlineStr">
        <is>
          <t>Lỗ thanh lý, nhượng bán tài sản cố định</t>
        </is>
      </c>
      <c r="B875" s="6" t="inlineStr">
        <is>
          <t>Loss on disposal, transfer of fixed assets</t>
        </is>
      </c>
      <c r="C875" s="6" t="inlineStr">
        <is>
          <t>固定资产处置、出售或转让损失</t>
        </is>
      </c>
      <c r="D875" s="6" t="inlineStr">
        <is>
          <t>固定資產處分、出售或轉讓損失</t>
        </is>
      </c>
    </row>
    <row r="876" customFormat="1" s="8">
      <c r="A876" s="6" t="inlineStr">
        <is>
          <t>Lỗ thuần trong năm</t>
        </is>
      </c>
      <c r="B876" s="6" t="inlineStr">
        <is>
          <t>Net loss in current year</t>
        </is>
      </c>
      <c r="C876" s="6" t="inlineStr">
        <is>
          <t>本年度净损</t>
        </is>
      </c>
      <c r="D876" s="6" t="inlineStr">
        <is>
          <t>本年度淨損</t>
        </is>
      </c>
    </row>
    <row r="877" customFormat="1" s="8">
      <c r="A877" s="6" t="inlineStr">
        <is>
          <t>Lỗ thuần trong năm nay</t>
        </is>
      </c>
      <c r="B877" s="6" t="inlineStr">
        <is>
          <t>Net loss in current year</t>
        </is>
      </c>
      <c r="C877" s="6" t="inlineStr">
        <is>
          <t>本年度净损</t>
        </is>
      </c>
      <c r="D877" s="6" t="inlineStr">
        <is>
          <t>本年度淨損</t>
        </is>
      </c>
    </row>
    <row r="878" customFormat="1" s="8">
      <c r="A878" s="6" t="inlineStr">
        <is>
          <t>Lỗ thuần trong năm trước</t>
        </is>
      </c>
      <c r="B878" s="6" t="inlineStr">
        <is>
          <t>Net loss of prior year</t>
        </is>
      </c>
      <c r="C878" s="6" t="inlineStr">
        <is>
          <t>上年度净损</t>
        </is>
      </c>
      <c r="D878" s="6" t="inlineStr">
        <is>
          <t>上年度淨損</t>
        </is>
      </c>
    </row>
    <row r="879" customFormat="1" s="8">
      <c r="A879" s="6" t="inlineStr">
        <is>
          <t>Lỗ từ hoạt động kinh doanh</t>
        </is>
      </c>
      <c r="B879" s="14" t="inlineStr">
        <is>
          <t>Operating losses</t>
        </is>
      </c>
      <c r="C879" s="6" t="inlineStr">
        <is>
          <t>营业亏损</t>
        </is>
      </c>
      <c r="D879" s="6" t="inlineStr">
        <is>
          <t>營業虧損</t>
        </is>
      </c>
    </row>
    <row r="880" ht="27.6" customFormat="1" customHeight="1" s="8">
      <c r="A880" s="6" t="inlineStr">
        <is>
          <t>Lỗ từ hoạt động kinh doanh còn được chuyển</t>
        </is>
      </c>
      <c r="B880" s="6" t="inlineStr">
        <is>
          <t>Operating losses carried forward</t>
        </is>
      </c>
      <c r="C880" s="6" t="inlineStr">
        <is>
          <t>可结转的营业亏损</t>
        </is>
      </c>
      <c r="D880" s="6" t="inlineStr">
        <is>
          <t>可結轉之營業虧損</t>
        </is>
      </c>
    </row>
    <row r="881" ht="27.6" customFormat="1" customHeight="1" s="8">
      <c r="A881" s="6" t="inlineStr">
        <is>
          <t>Lỗ tỷ giá hối đoái do đánh giá lại cuối năm</t>
        </is>
      </c>
      <c r="B881" s="14" t="inlineStr">
        <is>
          <t>Foreign exchange loss from year-end revaluation</t>
        </is>
      </c>
      <c r="C881" s="6" t="inlineStr">
        <is>
          <t>年底重估的汇兑损失</t>
        </is>
      </c>
      <c r="D881" s="6" t="inlineStr">
        <is>
          <t>年底重估之匯兌損失</t>
        </is>
      </c>
    </row>
    <row r="882" ht="27.6" customFormat="1" customHeight="1" s="8">
      <c r="A882" s="6" t="inlineStr">
        <is>
          <t>Lỗ/(Lãi) tỷ giá hối đoái do đánh giá lại cuối năm</t>
        </is>
      </c>
      <c r="B882" s="14" t="inlineStr">
        <is>
          <t>Foreign exchange loss/(gain) from year-end revaluation</t>
        </is>
      </c>
      <c r="C882" s="6" t="inlineStr">
        <is>
          <t>年底重估的汇兑损益</t>
        </is>
      </c>
      <c r="D882" s="6" t="inlineStr">
        <is>
          <t>年底重估之匯兌損益</t>
        </is>
      </c>
    </row>
    <row r="883" customFormat="1" s="8">
      <c r="A883" s="6" t="inlineStr">
        <is>
          <t>Loại tiền</t>
        </is>
      </c>
      <c r="B883" s="6" t="inlineStr">
        <is>
          <t>Currency</t>
        </is>
      </c>
      <c r="C883" s="6" t="inlineStr">
        <is>
          <t>币别</t>
        </is>
      </c>
      <c r="D883" s="6" t="inlineStr">
        <is>
          <t>幣別</t>
        </is>
      </c>
    </row>
    <row r="884" customFormat="1" s="8">
      <c r="A884" s="6" t="inlineStr">
        <is>
          <t>Loại tiền vay</t>
        </is>
      </c>
      <c r="B884" s="14" t="inlineStr">
        <is>
          <t>Borrowing currency</t>
        </is>
      </c>
      <c r="C884" s="6" t="inlineStr">
        <is>
          <t>借款货币</t>
        </is>
      </c>
      <c r="D884" s="6" t="inlineStr">
        <is>
          <t>借款貨幣</t>
        </is>
      </c>
    </row>
    <row r="885" customFormat="1" s="8">
      <c r="A885" s="6" t="inlineStr">
        <is>
          <t>Lợi nhuận được chia</t>
        </is>
      </c>
      <c r="B885" s="6" t="inlineStr">
        <is>
          <t>Dividends</t>
        </is>
      </c>
      <c r="C885" s="6" t="inlineStr">
        <is>
          <t>股利分派</t>
        </is>
      </c>
      <c r="D885" s="6" t="inlineStr">
        <is>
          <t>股利分派</t>
        </is>
      </c>
    </row>
    <row r="886" ht="27.6" customFormat="1" customHeight="1" s="8">
      <c r="A886" s="6" t="inlineStr">
        <is>
          <t>Lợi nhuận gộp về bán hàng và cung cấp dịch vụ</t>
        </is>
      </c>
      <c r="B886" s="6" t="inlineStr">
        <is>
          <t>Gross profit</t>
        </is>
      </c>
      <c r="C886" s="6" t="inlineStr">
        <is>
          <t>销售货物和提供劳务毛利</t>
        </is>
      </c>
      <c r="D886" s="6" t="inlineStr">
        <is>
          <t>銷售貨物及提供勞務毛利</t>
        </is>
      </c>
    </row>
    <row r="887" customFormat="1" s="8">
      <c r="A887" s="6" t="inlineStr">
        <is>
          <t>Lợi nhuận khác</t>
        </is>
      </c>
      <c r="B887" s="6" t="inlineStr">
        <is>
          <t>Profit from other activities</t>
        </is>
      </c>
      <c r="C887" s="6" t="inlineStr">
        <is>
          <t>其他利益</t>
        </is>
      </c>
      <c r="D887" s="6" t="inlineStr">
        <is>
          <t>其他利益</t>
        </is>
      </c>
    </row>
    <row r="888" ht="27.6" customFormat="1" customHeight="1" s="8">
      <c r="A888" s="6" t="inlineStr">
        <is>
          <t>Lợi nhuận phải trả cho Chủ sở hữu</t>
        </is>
      </c>
      <c r="B888" s="14" t="inlineStr">
        <is>
          <t>Profit payable to owner</t>
        </is>
      </c>
      <c r="C888" s="6" t="inlineStr">
        <is>
          <t>应付股利</t>
        </is>
      </c>
      <c r="D888" s="6" t="inlineStr">
        <is>
          <t>應付股利</t>
        </is>
      </c>
    </row>
    <row r="889" ht="27.6" customFormat="1" customHeight="1" s="8">
      <c r="A889" s="6" t="inlineStr">
        <is>
          <t>Lợi nhuận sau thuế chưa phân phối</t>
        </is>
      </c>
      <c r="B889" s="6" t="inlineStr">
        <is>
          <t>Retained earnings</t>
        </is>
      </c>
      <c r="C889" s="6" t="inlineStr">
        <is>
          <t>保留盈余</t>
        </is>
      </c>
      <c r="D889" s="6" t="inlineStr">
        <is>
          <t>保留盈餘</t>
        </is>
      </c>
    </row>
    <row r="890" ht="27.6" customFormat="1" customHeight="1" s="8">
      <c r="A890" s="6" t="inlineStr">
        <is>
          <t>Lợi nhuận sau thuế chưa phân phối kỳ này</t>
        </is>
      </c>
      <c r="B890" s="6" t="inlineStr">
        <is>
          <t>Retained earnings in current year</t>
        </is>
      </c>
      <c r="C890" s="6" t="inlineStr">
        <is>
          <t>本期保留盈余</t>
        </is>
      </c>
      <c r="D890" s="6" t="inlineStr">
        <is>
          <t>本期保留盈餘</t>
        </is>
      </c>
    </row>
    <row r="891" ht="27.6" customFormat="1" customHeight="1" s="8">
      <c r="A891" s="6" t="inlineStr">
        <is>
          <t>Lợi nhuận sau thuế chưa phân phối lũy kế đến cuối kỳ trước</t>
        </is>
      </c>
      <c r="B891" s="6" t="inlineStr">
        <is>
          <t>Retained earnings brought forward</t>
        </is>
      </c>
      <c r="C891" s="6" t="inlineStr">
        <is>
          <t>截至上期期末的累积保留盈余</t>
        </is>
      </c>
      <c r="D891" s="6" t="inlineStr">
        <is>
          <t>截至上期期末之累積保留盈餘</t>
        </is>
      </c>
    </row>
    <row r="892" ht="27.6" customFormat="1" customHeight="1" s="8">
      <c r="A892" s="6" t="inlineStr">
        <is>
          <t>Lợi nhuận sau thuế chưa phân phối năm trước</t>
        </is>
      </c>
      <c r="B892" s="6" t="inlineStr">
        <is>
          <t>Retained earnings brought forward</t>
        </is>
      </c>
      <c r="C892" s="6" t="inlineStr">
        <is>
          <t>上年度的未分配税后利润</t>
        </is>
      </c>
      <c r="D892" s="6" t="inlineStr">
        <is>
          <t>上年度之未分配稅後利潤</t>
        </is>
      </c>
    </row>
    <row r="893" ht="110.4" customFormat="1" customHeight="1" s="8">
      <c r="A893" s="6" t="inlineStr">
        <is>
          <t>Lợi nhuận sau thuế chưa phân phối, các quỹ trích từ lợi nhuận sau thuế chưa phân phối phát sinh sau ngày đầu tư được quy đổi ra VND bằng cách tính toán theo các khoản mục của Báo cáo kết quả hoạt động kinh doanh;</t>
        </is>
      </c>
      <c r="B893" s="6" t="inlineStr">
        <is>
          <t>Retained earnings, funds deducted from retained earnings arising after the investment date are converted into VND by calculating the items of income statements;</t>
        </is>
      </c>
      <c r="C893" s="6" t="inlineStr">
        <is>
          <t>未分配税后盈余、投资日后从未分配税后盈余提拨的各项基金按照利润表中的各项目折算为越南盾；</t>
        </is>
      </c>
      <c r="D893" s="6" t="inlineStr">
        <is>
          <t>未分配稅後盈餘、投資日後從未分配稅後盈餘提撥之各項基金按照損益表中之各項目折算為越南盾；</t>
        </is>
      </c>
    </row>
    <row r="894" ht="27.6" customFormat="1" customHeight="1" s="8">
      <c r="A894" s="6" t="inlineStr">
        <is>
          <t>Lợi nhuận sau thuế thu nhập doanh nghiệp</t>
        </is>
      </c>
      <c r="B894" s="6" t="inlineStr">
        <is>
          <t>Net profit after tax</t>
        </is>
      </c>
      <c r="C894" s="6" t="inlineStr">
        <is>
          <t>企业所得税后净利</t>
        </is>
      </c>
      <c r="D894" s="6" t="inlineStr">
        <is>
          <t>企業所得稅後淨利</t>
        </is>
      </c>
    </row>
    <row r="895" ht="69" customFormat="1" customHeight="1" s="8">
      <c r="A895" s="6" t="inlineStr">
        <is>
          <t>Lợi nhuận sau thuế thu nhập doanh nghiệp có thể được chia cho chủ sở hữu sau khi được Chủ tịch Công ty đề nghị và phê duyệt.</t>
        </is>
      </c>
      <c r="B895" s="6" t="inlineStr">
        <is>
          <t>Profit after corporate income tax can be distributed to owner after being proposed and approved by Chairman of the Company.</t>
        </is>
      </c>
      <c r="C895" s="6" t="inlineStr">
        <is>
          <t>公司企业所得税后的盈余可在董事长提议并批准后，得以分配给所有者（股东）。</t>
        </is>
      </c>
      <c r="D895" s="6" t="inlineStr">
        <is>
          <t>公司企業所得稅後之盈餘可在董事長提議並批准後，得以分配給所有者（股東）。</t>
        </is>
      </c>
    </row>
    <row r="896" ht="124.2" customFormat="1" customHeight="1" s="8">
      <c r="A896" s="6" t="inlineStr">
        <is>
          <t>Lợi nhuận sau thuế thu nhập doanh nghiệp có thể được chia cho chủ sở hữu sau khi được Chủ tịch Hội đồng Thành viên đề nghị và được Hội đồng Thành viên phê duyệt theo điều lệ của Công ty và các qui định của pháp luật Việt Nam.</t>
        </is>
      </c>
      <c r="B896" s="14" t="inlineStr">
        <is>
          <t>Profit after corporate income tax can be distributed to owner after being proposed by Chairman of the Board of Members and being approved by the Board of Members in accordance with the Company’s charter and the law of Vietnam.</t>
        </is>
      </c>
      <c r="C896" s="6" t="inlineStr">
        <is>
          <t>公司企业所得税后的盈余可在董事会主席提议并经董事会按照公司章程及越南法律规定批准后，得以分配给所有者（股东）。</t>
        </is>
      </c>
      <c r="D896" s="6" t="inlineStr">
        <is>
          <t>公司企業所得稅後之盈餘可在董事會主席提議並經董事會按照公司章程及越南法律規定批准後，得以分配給所有者（股東）。</t>
        </is>
      </c>
    </row>
    <row r="897" ht="69" customFormat="1" customHeight="1" s="8">
      <c r="A897" s="6" t="inlineStr">
        <is>
          <t>Lợi nhuận sau thuế thu nhập doanh nghiệp có thể được chia cho chủ sở hữu sau khi được Hội đồng Thành viên Công ty đề nghị và phê duyệt.</t>
        </is>
      </c>
      <c r="B897" s="6" t="inlineStr">
        <is>
          <t>Profit after corporate income tax can be distributed to owner after being proposed and approved by the Board of Members.</t>
        </is>
      </c>
      <c r="C897" s="6" t="inlineStr">
        <is>
          <t>经董事会提议并决议通过后，企业所得税后利润得以作为股利分派予所有者。</t>
        </is>
      </c>
      <c r="D897" s="6" t="inlineStr">
        <is>
          <t>經董事會提議並決議通過後，企業所得稅後利潤得以作為股利分派予所有者。</t>
        </is>
      </c>
    </row>
    <row r="898" ht="69" customFormat="1" customHeight="1" s="8">
      <c r="A898" s="6" t="inlineStr">
        <is>
          <t>Lợi nhuận sau thuế thu nhập doanh nghiệp có thể được chia cho chủ sở hữu sau khi được Hội đồng Thành viên đề nghị và phê duyệt.</t>
        </is>
      </c>
      <c r="B898" s="6" t="inlineStr">
        <is>
          <t>Profit after corporate income tax can be distributed to owner after being proposed and approved by the Board of Members.</t>
        </is>
      </c>
      <c r="C898" s="6" t="inlineStr">
        <is>
          <t>企业所得税后利润可在经董事成员提议并批准后分配给所有者。</t>
        </is>
      </c>
      <c r="D898" s="6" t="inlineStr">
        <is>
          <t>企業所得稅後利潤可在經董事成員提議並批准後分配給所有者。</t>
        </is>
      </c>
    </row>
    <row r="899" ht="27.6" customFormat="1" customHeight="1" s="8">
      <c r="A899" s="6" t="inlineStr">
        <is>
          <t>Lợi nhuận thuần trong kỳ</t>
        </is>
      </c>
      <c r="B899" s="6" t="inlineStr">
        <is>
          <t>Net profit earned in current year</t>
        </is>
      </c>
      <c r="C899" s="6" t="inlineStr">
        <is>
          <t>本期的净利润</t>
        </is>
      </c>
      <c r="D899" s="6" t="inlineStr">
        <is>
          <t>本期之淨利潤</t>
        </is>
      </c>
    </row>
    <row r="900" ht="27.6" customFormat="1" customHeight="1" s="8">
      <c r="A900" s="6" t="inlineStr">
        <is>
          <t>Lợi nhuận thuần trong năm</t>
        </is>
      </c>
      <c r="B900" s="6" t="inlineStr">
        <is>
          <t>Net profit earned in current year</t>
        </is>
      </c>
      <c r="C900" s="6" t="inlineStr">
        <is>
          <t>本年度的净利润</t>
        </is>
      </c>
      <c r="D900" s="6" t="inlineStr">
        <is>
          <t>本年度之淨利潤</t>
        </is>
      </c>
    </row>
    <row r="901" ht="27.6" customFormat="1" customHeight="1" s="8">
      <c r="A901" s="6" t="inlineStr">
        <is>
          <t>Lợi nhuận thuần trong năm nay</t>
        </is>
      </c>
      <c r="B901" s="6" t="inlineStr">
        <is>
          <t>Net profit earned in current year</t>
        </is>
      </c>
      <c r="C901" s="6" t="inlineStr">
        <is>
          <t>本年度的净利润</t>
        </is>
      </c>
      <c r="D901" s="6" t="inlineStr">
        <is>
          <t>本年度之淨利潤</t>
        </is>
      </c>
    </row>
    <row r="902" ht="27.6" customFormat="1" customHeight="1" s="8">
      <c r="A902" s="6" t="inlineStr">
        <is>
          <t>Lợi nhuận thuần trong năm trước</t>
        </is>
      </c>
      <c r="B902" s="14" t="inlineStr">
        <is>
          <t>Net profit of prior year</t>
        </is>
      </c>
      <c r="C902" s="6" t="inlineStr">
        <is>
          <t>上年度的净利润</t>
        </is>
      </c>
      <c r="D902" s="6" t="inlineStr">
        <is>
          <t>上年度之淨利潤</t>
        </is>
      </c>
    </row>
    <row r="903" ht="27.6" customFormat="1" customHeight="1" s="8">
      <c r="A903" s="6" t="inlineStr">
        <is>
          <t>Lợi nhuận thuần từ hoạt động kinh doanh</t>
        </is>
      </c>
      <c r="B903" s="14" t="inlineStr">
        <is>
          <t>Profit from operating activities</t>
        </is>
      </c>
      <c r="C903" s="6" t="inlineStr">
        <is>
          <t>营业净利</t>
        </is>
      </c>
      <c r="D903" s="6" t="inlineStr">
        <is>
          <t>營業淨利</t>
        </is>
      </c>
    </row>
    <row r="904" ht="27.6" customFormat="1" customHeight="1" s="8">
      <c r="A904" s="6" t="inlineStr">
        <is>
          <t>Lợi nhuận thuộc cổ đông sở hữu cổ phần phổ thông</t>
        </is>
      </c>
      <c r="B904" s="6" t="inlineStr">
        <is>
          <t>Profit allocated to shareholders holding ordinary shares</t>
        </is>
      </c>
      <c r="C904" s="6" t="inlineStr">
        <is>
          <t>归属于普通股股东的本期净利</t>
        </is>
      </c>
      <c r="D904" s="6" t="inlineStr">
        <is>
          <t>歸屬於普通股股東之本期淨利</t>
        </is>
      </c>
    </row>
    <row r="905" customFormat="1" s="8">
      <c r="A905" s="6" t="inlineStr">
        <is>
          <t>Lợi nhuận trước thuế</t>
        </is>
      </c>
      <c r="B905" s="6" t="inlineStr">
        <is>
          <t>Profit before tax</t>
        </is>
      </c>
      <c r="C905" s="6" t="inlineStr">
        <is>
          <t>税前净利</t>
        </is>
      </c>
      <c r="D905" s="6" t="inlineStr">
        <is>
          <t>稅前淨利</t>
        </is>
      </c>
    </row>
    <row r="906" ht="41.4" customFormat="1" customHeight="1" s="8">
      <c r="A906" s="6" t="inlineStr">
        <is>
          <t>Lợi nhuận từ hoạt động kinh doanh trước những thay đổi vốn lưu động</t>
        </is>
      </c>
      <c r="B906" s="6" t="inlineStr">
        <is>
          <t>Operating profit before changes in working capital</t>
        </is>
      </c>
      <c r="C906" s="6" t="inlineStr">
        <is>
          <t>营运资金变动前的营业活动利益</t>
        </is>
      </c>
      <c r="D906" s="6" t="inlineStr">
        <is>
          <t>營運資金變動前之營業活動利益</t>
        </is>
      </c>
    </row>
    <row r="907" ht="55.2" customFormat="1" customHeight="1" s="8">
      <c r="A907" s="6" t="inlineStr">
        <is>
          <t>Lợi nhuận, cổ tức đã trả được quy đổi ra VND theo tỷ giá giao dịch thực tế tại ngày trả lợi tức, cổ tức;</t>
        </is>
      </c>
      <c r="B907" s="6" t="inlineStr">
        <is>
          <t>Dividends paid are converted into VND at the real exchange rate at the date of payment of dividends;</t>
        </is>
      </c>
      <c r="C907" s="6" t="inlineStr">
        <is>
          <t>利润、已付股息按照发放股利、股息当日的实际交易汇率折算为越南盾；</t>
        </is>
      </c>
      <c r="D907" s="6" t="inlineStr">
        <is>
          <t>利潤、已付股息按照發放股利、股息當日之實際交易匯率折算為越南盾；</t>
        </is>
      </c>
    </row>
    <row r="908" ht="55.2" customFormat="1" customHeight="1" s="8">
      <c r="A908" s="6" t="inlineStr">
        <is>
          <t>Lựa chọn các chính sách kế toán thích hợp và áp dụng các chính sách đó một cách nhất quán;</t>
        </is>
      </c>
      <c r="B908" s="6" t="inlineStr">
        <is>
          <t>Select suitable accounting policies and then apply them consistently;</t>
        </is>
      </c>
      <c r="C908" s="6" t="inlineStr">
        <is>
          <t>选择适当会计政策，并坚持一贯性原则采用该会计政策；</t>
        </is>
      </c>
      <c r="D908" s="6" t="inlineStr">
        <is>
          <t>選擇適當會計政策，並堅持一貫性原則採用該會計政策；</t>
        </is>
      </c>
    </row>
    <row r="909" ht="27.6" customFormat="1" customHeight="1" s="8">
      <c r="A909" s="6" t="inlineStr">
        <is>
          <t>Lương và thu nhập của Ban Giám đốc</t>
        </is>
      </c>
      <c r="B909" s="6" t="inlineStr">
        <is>
          <t>Salaries and remuneration of the Board of Management</t>
        </is>
      </c>
      <c r="C909" s="6" t="inlineStr">
        <is>
          <t>管理阶层的薪资报酬</t>
        </is>
      </c>
      <c r="D909" s="6" t="inlineStr">
        <is>
          <t>管理階層之薪資報酬</t>
        </is>
      </c>
    </row>
    <row r="910" ht="27.6" customFormat="1" customHeight="1" s="8">
      <c r="A910" s="6" t="inlineStr">
        <is>
          <t>Lương và thu nhập của Ban Tổng Giám đốc</t>
        </is>
      </c>
      <c r="B910" s="6" t="inlineStr">
        <is>
          <t>Salaries and remuneration of the Board of General Directors</t>
        </is>
      </c>
      <c r="C910" s="6" t="inlineStr">
        <is>
          <t>管理阶层的薪资报酬</t>
        </is>
      </c>
      <c r="D910" s="6" t="inlineStr">
        <is>
          <t>管理階層之薪資報酬</t>
        </is>
      </c>
    </row>
    <row r="911" ht="27.6" customFormat="1" customHeight="1" s="8">
      <c r="A911" s="6" t="inlineStr">
        <is>
          <t>Lương và thu nhập của Chủ sở hữu</t>
        </is>
      </c>
      <c r="B911" s="6" t="inlineStr">
        <is>
          <t>Salaries and remuneration of owner</t>
        </is>
      </c>
      <c r="C911" s="6" t="inlineStr">
        <is>
          <t>公司所有者的薪资报酬</t>
        </is>
      </c>
      <c r="D911" s="6" t="inlineStr">
        <is>
          <t>公司所有者的薪資報酬</t>
        </is>
      </c>
    </row>
    <row r="912" ht="27.6" customFormat="1" customHeight="1" s="8">
      <c r="A912" s="6" t="inlineStr">
        <is>
          <t>Lương và thu nhập của Chủ tịch Công ty</t>
        </is>
      </c>
      <c r="B912" s="6" t="inlineStr">
        <is>
          <t>Salaries and remuneration of Chairman</t>
        </is>
      </c>
      <c r="C912" s="6" t="inlineStr">
        <is>
          <t>公司董事长的薪资报酬</t>
        </is>
      </c>
      <c r="D912" s="6" t="inlineStr">
        <is>
          <t>公司董事長之薪資報酬</t>
        </is>
      </c>
    </row>
    <row r="913" ht="27.6" customFormat="1" customHeight="1" s="8">
      <c r="A913" s="6" t="inlineStr">
        <is>
          <t>Lương và thu nhập của Giám đốc</t>
        </is>
      </c>
      <c r="B913" s="6" t="inlineStr">
        <is>
          <t>Salaries and remuneration of Director</t>
        </is>
      </c>
      <c r="C913" s="6" t="inlineStr">
        <is>
          <t>经理的薪资报酬</t>
        </is>
      </c>
      <c r="D913" s="6" t="inlineStr">
        <is>
          <t>經理的薪資報酬</t>
        </is>
      </c>
    </row>
    <row r="914" ht="27.6" customFormat="1" customHeight="1" s="8">
      <c r="A914" s="6" t="inlineStr">
        <is>
          <t>Lương và thu nhập của Giám đốc điều hành</t>
        </is>
      </c>
      <c r="B914" s="6" t="inlineStr">
        <is>
          <t>Salaries and remuneration of Managing Director</t>
        </is>
      </c>
      <c r="C914" s="6" t="inlineStr">
        <is>
          <t>执行总监的薪资报酬</t>
        </is>
      </c>
      <c r="D914" s="6" t="inlineStr">
        <is>
          <t>執行總監之薪資報酬</t>
        </is>
      </c>
    </row>
    <row r="915" ht="27.6" customFormat="1" customHeight="1" s="8">
      <c r="A915" s="6" t="inlineStr">
        <is>
          <t>Lương và thu nhập của Hiệp lý</t>
        </is>
      </c>
      <c r="B915" s="6" t="inlineStr">
        <is>
          <t>Salaries and remuneration of Deputy General Director</t>
        </is>
      </c>
      <c r="C915" s="6" t="inlineStr">
        <is>
          <t>协理的薪资报酬</t>
        </is>
      </c>
      <c r="D915" s="6" t="inlineStr">
        <is>
          <t>協理的薪資報酬</t>
        </is>
      </c>
    </row>
    <row r="916" ht="27.6" customFormat="1" customHeight="1" s="8">
      <c r="A916" s="6" t="inlineStr">
        <is>
          <t>Lương và thu nhập của Hội đồng Quản trị</t>
        </is>
      </c>
      <c r="B916" s="6" t="inlineStr">
        <is>
          <t>Salaries and remuneration of the Board of Directors</t>
        </is>
      </c>
      <c r="C916" s="6" t="inlineStr">
        <is>
          <t>董事会的薪资报酬</t>
        </is>
      </c>
      <c r="D916" s="6" t="inlineStr">
        <is>
          <t>董事會之薪資報酬</t>
        </is>
      </c>
    </row>
    <row r="917" ht="41.4" customFormat="1" customHeight="1" s="8">
      <c r="A917" s="6" t="inlineStr">
        <is>
          <t>Lương và thu nhập của Hội đồng Quản trị và Ban Giám đốc</t>
        </is>
      </c>
      <c r="B917" s="6" t="inlineStr">
        <is>
          <t>Salaries and remuneration of the Board of Directors and the Board of Management</t>
        </is>
      </c>
      <c r="C917" s="6" t="inlineStr">
        <is>
          <t>董事会和管理阶层的薪资报酬</t>
        </is>
      </c>
      <c r="D917" s="6" t="inlineStr">
        <is>
          <t>董事會和管理階層之薪資報酬</t>
        </is>
      </c>
    </row>
    <row r="918" ht="41.4" customFormat="1" customHeight="1" s="8">
      <c r="A918" s="6" t="inlineStr">
        <is>
          <t>Lương và thu nhập của Hội đồng Quản trị và Ban Tổng Giám đốc</t>
        </is>
      </c>
      <c r="B918" s="6" t="inlineStr">
        <is>
          <t>Salaries and remuneration of the Board of Directors and the Board of General Directors</t>
        </is>
      </c>
      <c r="C918" s="6" t="inlineStr">
        <is>
          <t>董事会和管理阶层的薪资报酬</t>
        </is>
      </c>
      <c r="D918" s="6" t="inlineStr">
        <is>
          <t>董事會和管理階層之薪資報酬</t>
        </is>
      </c>
    </row>
    <row r="919" ht="41.4" customFormat="1" customHeight="1" s="8">
      <c r="A919" s="6" t="inlineStr">
        <is>
          <t>Lương và thu nhập của Hội đồng Quản trị và Giám đốc</t>
        </is>
      </c>
      <c r="B919" s="6" t="inlineStr">
        <is>
          <t>Salaries and remuneration of the Board of Directors and Director</t>
        </is>
      </c>
      <c r="C919" s="6" t="inlineStr">
        <is>
          <t>董事会和经理的薪资报酬</t>
        </is>
      </c>
      <c r="D919" s="6" t="inlineStr">
        <is>
          <t>董事會和經理之薪資報酬</t>
        </is>
      </c>
    </row>
    <row r="920" ht="41.4" customFormat="1" customHeight="1" s="8">
      <c r="A920" s="6" t="inlineStr">
        <is>
          <t>Lương và thu nhập của Hội đồng Quản trị và Giám đốc điều hành</t>
        </is>
      </c>
      <c r="B920" s="6" t="inlineStr">
        <is>
          <t>Salaries and remuneration of the Board of Directors and Managing Director</t>
        </is>
      </c>
      <c r="C920" s="6" t="inlineStr">
        <is>
          <t>董事会和执行总监的薪资报酬</t>
        </is>
      </c>
      <c r="D920" s="6" t="inlineStr">
        <is>
          <t>董事及執行總監之薪資報酬</t>
        </is>
      </c>
    </row>
    <row r="921" ht="41.4" customFormat="1" customHeight="1" s="8">
      <c r="A921" s="6" t="inlineStr">
        <is>
          <t>Lương và thu nhập của Hội đồng Quản trị và Tổng Giám đốc</t>
        </is>
      </c>
      <c r="B921" s="14" t="inlineStr">
        <is>
          <t>Salaries and remuneration of the Board of Directors and General Director</t>
        </is>
      </c>
      <c r="C921" s="6" t="inlineStr">
        <is>
          <t>董事会和总经理的薪资报酬</t>
        </is>
      </c>
      <c r="D921" s="6" t="inlineStr">
        <is>
          <t>董事會和總經理之薪資報酬</t>
        </is>
      </c>
    </row>
    <row r="922" ht="41.4" customFormat="1" customHeight="1" s="8">
      <c r="A922" s="6" t="inlineStr">
        <is>
          <t>Lương và thu nhập của Hội đồng Thành viên và Ban Giám đốc</t>
        </is>
      </c>
      <c r="B922" s="6" t="inlineStr">
        <is>
          <t>Salaries and remuneration of the Board of Members and the Board of Management</t>
        </is>
      </c>
      <c r="C922" s="6" t="inlineStr">
        <is>
          <t>董事会和管理阶层的薪资报酬</t>
        </is>
      </c>
      <c r="D922" s="6" t="inlineStr">
        <is>
          <t>董事會和管理階層的薪資報酬</t>
        </is>
      </c>
    </row>
    <row r="923" ht="41.4" customFormat="1" customHeight="1" s="8">
      <c r="A923" s="6" t="inlineStr">
        <is>
          <t>Lương và thu nhập của Hội đồng Thành viên và Ban Tổng Giám đốc</t>
        </is>
      </c>
      <c r="B923" s="6" t="inlineStr">
        <is>
          <t>Salaries and remuneration of the Board of Members and the Board of General Directors</t>
        </is>
      </c>
      <c r="C923" s="6" t="inlineStr">
        <is>
          <t>董事会和管理阶层的薪资报酬</t>
        </is>
      </c>
      <c r="D923" s="6" t="inlineStr">
        <is>
          <t>董事會和管理階層的薪資報酬</t>
        </is>
      </c>
    </row>
    <row r="924" ht="27.6" customFormat="1" customHeight="1" s="8">
      <c r="A924" s="6" t="inlineStr">
        <is>
          <t>Lương và thu nhập của Tổng Giám đốc</t>
        </is>
      </c>
      <c r="B924" s="6" t="inlineStr">
        <is>
          <t>Salaries and remuneration of General Director</t>
        </is>
      </c>
      <c r="C924" s="6" t="inlineStr">
        <is>
          <t>总经理的薪资报酬</t>
        </is>
      </c>
      <c r="D924" s="6" t="inlineStr">
        <is>
          <t>總經理之薪資報酬</t>
        </is>
      </c>
    </row>
    <row r="925" ht="27.6" customFormat="1" customHeight="1" s="8">
      <c r="A925" s="6" t="inlineStr">
        <is>
          <t>Lưu chuyển tiền thuần trong năm</t>
        </is>
      </c>
      <c r="B925" s="6" t="inlineStr">
        <is>
          <t>Net increase, decrease in cash and cash equivalents</t>
        </is>
      </c>
      <c r="C925" s="6" t="inlineStr">
        <is>
          <t>年度内净现金流量</t>
        </is>
      </c>
      <c r="D925" s="6" t="inlineStr">
        <is>
          <t>年度內淨現金流量</t>
        </is>
      </c>
    </row>
    <row r="926" ht="27.6" customFormat="1" customHeight="1" s="8">
      <c r="A926" s="6" t="inlineStr">
        <is>
          <t>Lưu chuyển tiền thuần từ hoạt động đầu tư</t>
        </is>
      </c>
      <c r="B926" s="6" t="inlineStr">
        <is>
          <t>Net cash from, used in investing activities</t>
        </is>
      </c>
      <c r="C926" s="6" t="inlineStr">
        <is>
          <t>投资活动的净现金流量</t>
        </is>
      </c>
      <c r="D926" s="6" t="inlineStr">
        <is>
          <t>投資活動之淨現金流量</t>
        </is>
      </c>
    </row>
    <row r="927" ht="27.6" customFormat="1" customHeight="1" s="8">
      <c r="A927" s="6" t="inlineStr">
        <is>
          <t>Lưu chuyển tiền thuần từ hoạt động kinh doanh</t>
        </is>
      </c>
      <c r="B927" s="6" t="inlineStr">
        <is>
          <t>Net cash from, used in operating activities</t>
        </is>
      </c>
      <c r="C927" s="6" t="inlineStr">
        <is>
          <t>营业活动的净现金流量</t>
        </is>
      </c>
      <c r="D927" s="6" t="inlineStr">
        <is>
          <t>營業活動之淨現金流量</t>
        </is>
      </c>
    </row>
    <row r="928" ht="27.6" customFormat="1" customHeight="1" s="8">
      <c r="A928" s="6" t="inlineStr">
        <is>
          <t>Lưu chuyển tiền thuần từ hoạt động tài chính</t>
        </is>
      </c>
      <c r="B928" s="6" t="inlineStr">
        <is>
          <t>Net cash from, used in financing activities</t>
        </is>
      </c>
      <c r="C928" s="6" t="inlineStr">
        <is>
          <t>融资活动的浄现金流量</t>
        </is>
      </c>
      <c r="D928" s="6" t="inlineStr">
        <is>
          <t>融資活動之浄現金流量</t>
        </is>
      </c>
    </row>
    <row r="929" ht="27.6" customFormat="1" customHeight="1" s="8">
      <c r="A929" s="6" t="inlineStr">
        <is>
          <t>Lưu chuyển tiền từ hoạt động đầu tư</t>
        </is>
      </c>
      <c r="B929" s="6" t="inlineStr">
        <is>
          <t>Cash flows from investing activities</t>
        </is>
      </c>
      <c r="C929" s="6" t="inlineStr">
        <is>
          <t>投资活动的现金流量</t>
        </is>
      </c>
      <c r="D929" s="6" t="inlineStr">
        <is>
          <t>投資活動之現金流量</t>
        </is>
      </c>
    </row>
    <row r="930" ht="27.6" customFormat="1" customHeight="1" s="8">
      <c r="A930" s="6" t="inlineStr">
        <is>
          <t>Lưu chuyển tiền từ hoạt động kinh doanh</t>
        </is>
      </c>
      <c r="B930" s="6" t="inlineStr">
        <is>
          <t>Cash flows from operating activities</t>
        </is>
      </c>
      <c r="C930" s="6" t="inlineStr">
        <is>
          <t>营业活动的现金流量</t>
        </is>
      </c>
      <c r="D930" s="6" t="inlineStr">
        <is>
          <t>營業活動之現金流量</t>
        </is>
      </c>
    </row>
    <row r="931" ht="27.6" customFormat="1" customHeight="1" s="8">
      <c r="A931" s="6" t="inlineStr">
        <is>
          <t>Lưu chuyển tiền từ hoạt động tài chính</t>
        </is>
      </c>
      <c r="B931" s="6" t="inlineStr">
        <is>
          <t>Cash flows from financing activities</t>
        </is>
      </c>
      <c r="C931" s="6" t="inlineStr">
        <is>
          <t>融资活动的现金流量</t>
        </is>
      </c>
      <c r="D931" s="6" t="inlineStr">
        <is>
          <t>融資活動之現金流量</t>
        </is>
      </c>
    </row>
    <row r="932" customFormat="1" s="8">
      <c r="A932" s="6" t="inlineStr">
        <is>
          <t>Mã số</t>
        </is>
      </c>
      <c r="B932" s="6" t="inlineStr">
        <is>
          <t>Code</t>
        </is>
      </c>
      <c r="C932" s="6" t="inlineStr">
        <is>
          <t>代码</t>
        </is>
      </c>
      <c r="D932" s="6" t="inlineStr">
        <is>
          <t>代碼</t>
        </is>
      </c>
    </row>
    <row r="933" customFormat="1" s="8">
      <c r="A933" s="6" t="inlineStr">
        <is>
          <t>Mã số thuế:</t>
        </is>
      </c>
      <c r="B933" s="6" t="inlineStr">
        <is>
          <t>Tax code:</t>
        </is>
      </c>
      <c r="C933" s="6" t="inlineStr">
        <is>
          <t>税号：</t>
        </is>
      </c>
      <c r="D933" s="6" t="inlineStr">
        <is>
          <t>統一稅號：</t>
        </is>
      </c>
    </row>
    <row r="934" customFormat="1" s="8">
      <c r="A934" s="6" t="inlineStr">
        <is>
          <t>Máy móc thiết bị</t>
        </is>
      </c>
      <c r="B934" s="6" t="inlineStr">
        <is>
          <t>Machinery, equipment</t>
        </is>
      </c>
      <c r="C934" s="6" t="inlineStr">
        <is>
          <t>机器设备</t>
        </is>
      </c>
      <c r="D934" s="6" t="inlineStr">
        <is>
          <t>機器設備</t>
        </is>
      </c>
    </row>
    <row r="935" customFormat="1" s="8">
      <c r="A935" s="6" t="inlineStr">
        <is>
          <t>Máy móc, thiết bị</t>
        </is>
      </c>
      <c r="B935" s="6" t="inlineStr">
        <is>
          <t>Machinery, equipment</t>
        </is>
      </c>
      <c r="C935" s="6" t="inlineStr">
        <is>
          <t>机器设备</t>
        </is>
      </c>
      <c r="D935" s="6" t="inlineStr">
        <is>
          <t>機器設備</t>
        </is>
      </c>
    </row>
    <row r="936" ht="27.6" customFormat="1" customHeight="1" s="8">
      <c r="A936" s="6" t="inlineStr">
        <is>
          <t>Mệnh giá cổ phần đang lưu hành</t>
        </is>
      </c>
      <c r="B936" s="14" t="inlineStr">
        <is>
          <t>Face value of shares in circulation</t>
        </is>
      </c>
      <c r="C936" s="6" t="inlineStr">
        <is>
          <t>流通在外每股面额</t>
        </is>
      </c>
      <c r="D936" s="6" t="inlineStr">
        <is>
          <t>流通在外每股面額</t>
        </is>
      </c>
    </row>
    <row r="937" customFormat="1" s="8">
      <c r="A937" s="6" t="inlineStr">
        <is>
          <t>miễn nhiệm</t>
        </is>
      </c>
      <c r="B937" s="6" t="inlineStr">
        <is>
          <t xml:space="preserve">resigned </t>
        </is>
      </c>
      <c r="C937" s="6" t="inlineStr">
        <is>
          <t>离任</t>
        </is>
      </c>
      <c r="D937" s="6" t="inlineStr">
        <is>
          <t>離任</t>
        </is>
      </c>
    </row>
    <row r="938" customFormat="1" s="8">
      <c r="A938" s="6" t="inlineStr">
        <is>
          <t>Miễn nhiệm</t>
        </is>
      </c>
      <c r="B938" s="6" t="inlineStr">
        <is>
          <t xml:space="preserve">Resigned </t>
        </is>
      </c>
      <c r="C938" s="6" t="inlineStr">
        <is>
          <t>离任</t>
        </is>
      </c>
      <c r="D938" s="6" t="inlineStr">
        <is>
          <t>離任</t>
        </is>
      </c>
    </row>
    <row r="939" customFormat="1" s="8">
      <c r="A939" s="6" t="inlineStr">
        <is>
          <t>Môi giới bán hàng</t>
        </is>
      </c>
      <c r="B939" s="6" t="inlineStr">
        <is>
          <t>Sales brokerage</t>
        </is>
      </c>
      <c r="C939" s="6" t="inlineStr">
        <is>
          <t>销售佣金</t>
        </is>
      </c>
      <c r="D939" s="6" t="inlineStr">
        <is>
          <t>銷售佣金</t>
        </is>
      </c>
    </row>
    <row r="940" customFormat="1" s="8">
      <c r="A940" s="6" t="inlineStr">
        <is>
          <t>Mối quan hệ</t>
        </is>
      </c>
      <c r="B940" s="14" t="inlineStr">
        <is>
          <t>Relationship</t>
        </is>
      </c>
      <c r="C940" s="6" t="inlineStr">
        <is>
          <t>关系</t>
        </is>
      </c>
      <c r="D940" s="6" t="inlineStr">
        <is>
          <t>關係</t>
        </is>
      </c>
    </row>
    <row r="941" ht="69" customFormat="1" customHeight="1" s="8">
      <c r="A941" s="6" t="inlineStr">
        <is>
          <t>Một số số liệu của năm trước đã được phân loại lại để làm cơ sở so sánh với các số liệu của năm hiện hành.</t>
        </is>
      </c>
      <c r="B941" s="6" t="inlineStr">
        <is>
          <t>Certain reclassifications have been made to the prior year’s figures to enhance comparability with current year’s figures.</t>
        </is>
      </c>
      <c r="C941" s="6" t="inlineStr">
        <is>
          <t>上年度的若干资讯经重新分类后与本年度的财务资讯相互比较。</t>
        </is>
      </c>
      <c r="D941" s="6" t="inlineStr">
        <is>
          <t>上年度之若干資訊經重新分類後與本年度之財務資訊相互比較。</t>
        </is>
      </c>
    </row>
    <row r="942" customFormat="1" s="8">
      <c r="A942" s="6" t="inlineStr">
        <is>
          <t>Mua công cụ dụng cụ</t>
        </is>
      </c>
      <c r="B942" s="14" t="inlineStr">
        <is>
          <t>Purchase of tools and supplies</t>
        </is>
      </c>
      <c r="C942" s="6" t="inlineStr">
        <is>
          <t>购买工具及用具</t>
        </is>
      </c>
      <c r="D942" s="6" t="inlineStr">
        <is>
          <t>購買工具及用具</t>
        </is>
      </c>
    </row>
    <row r="943" customFormat="1" s="8">
      <c r="A943" s="6" t="inlineStr">
        <is>
          <t>Mua công cụ, tài sản</t>
        </is>
      </c>
      <c r="B943" s="6" t="inlineStr">
        <is>
          <t>Purchase of tools and assets</t>
        </is>
      </c>
      <c r="C943" s="6" t="inlineStr">
        <is>
          <t>采购工具和资产</t>
        </is>
      </c>
      <c r="D943" s="6" t="inlineStr">
        <is>
          <t>採購工具和資產</t>
        </is>
      </c>
    </row>
    <row r="944" customFormat="1" s="8">
      <c r="A944" s="6" t="inlineStr">
        <is>
          <t>Mua hàng</t>
        </is>
      </c>
      <c r="B944" s="6" t="inlineStr">
        <is>
          <t>Purchase of goods</t>
        </is>
      </c>
      <c r="C944" s="6" t="inlineStr">
        <is>
          <t>购买商品</t>
        </is>
      </c>
      <c r="D944" s="6" t="inlineStr">
        <is>
          <t>購買商品</t>
        </is>
      </c>
    </row>
    <row r="945" customFormat="1" s="8">
      <c r="A945" s="6" t="inlineStr">
        <is>
          <t>Mua hàng chưa xuất hóa đơn</t>
        </is>
      </c>
      <c r="B945" s="6" t="inlineStr">
        <is>
          <t>Goods purchased not invoiced</t>
        </is>
      </c>
      <c r="C945" s="6" t="inlineStr">
        <is>
          <t>未开发票的购货</t>
        </is>
      </c>
      <c r="D945" s="6" t="inlineStr">
        <is>
          <t>未開發票之購貨</t>
        </is>
      </c>
    </row>
    <row r="946" customFormat="1" s="8">
      <c r="A946" s="6" t="inlineStr">
        <is>
          <t>Mua hàng hóa</t>
        </is>
      </c>
      <c r="B946" s="6" t="inlineStr">
        <is>
          <t>Purchase of goods</t>
        </is>
      </c>
      <c r="C946" s="6" t="inlineStr">
        <is>
          <t>购买商品</t>
        </is>
      </c>
      <c r="D946" s="6" t="inlineStr">
        <is>
          <t>購買商品</t>
        </is>
      </c>
    </row>
    <row r="947" customFormat="1" s="8">
      <c r="A947" s="6" t="inlineStr">
        <is>
          <t>Mua hàng hóa, dịch vụ</t>
        </is>
      </c>
      <c r="B947" s="6" t="inlineStr">
        <is>
          <t>Purchase of goods and services</t>
        </is>
      </c>
      <c r="C947" s="6" t="inlineStr">
        <is>
          <t>购买商品、服务</t>
        </is>
      </c>
      <c r="D947" s="6" t="inlineStr">
        <is>
          <t>購買商品、服務</t>
        </is>
      </c>
    </row>
    <row r="948" ht="27.6" customFormat="1" customHeight="1" s="8">
      <c r="A948" s="6" t="inlineStr">
        <is>
          <t>Mua hàng hóa, nguyên liệu</t>
        </is>
      </c>
      <c r="B948" s="14" t="inlineStr">
        <is>
          <t>Purchase of goods and raw materials</t>
        </is>
      </c>
      <c r="C948" s="6" t="inlineStr">
        <is>
          <t>采购商品和原材料</t>
        </is>
      </c>
      <c r="D948" s="6" t="inlineStr">
        <is>
          <t>採購商品和原材料</t>
        </is>
      </c>
    </row>
    <row r="949" customFormat="1" s="8">
      <c r="A949" s="6" t="inlineStr">
        <is>
          <t>Mua hàng tồn kho</t>
        </is>
      </c>
      <c r="B949" s="6" t="inlineStr">
        <is>
          <t>Purchase of inventories</t>
        </is>
      </c>
      <c r="C949" s="6" t="inlineStr">
        <is>
          <t>采购存货</t>
        </is>
      </c>
      <c r="D949" s="6" t="inlineStr">
        <is>
          <t>採購存貨</t>
        </is>
      </c>
    </row>
    <row r="950" customFormat="1" s="8">
      <c r="A950" s="6" t="inlineStr">
        <is>
          <t>Mua lại trong năm</t>
        </is>
      </c>
      <c r="B950" s="14" t="inlineStr">
        <is>
          <t>Purchases</t>
        </is>
      </c>
      <c r="C950" s="6" t="inlineStr">
        <is>
          <t>年度内回购</t>
        </is>
      </c>
      <c r="D950" s="6" t="inlineStr">
        <is>
          <t>年度內回購</t>
        </is>
      </c>
    </row>
    <row r="951" ht="27.6" customFormat="1" customHeight="1" s="8">
      <c r="A951" s="6" t="inlineStr">
        <is>
          <t>Mua máy móc, thiết bị</t>
        </is>
      </c>
      <c r="B951" s="6" t="inlineStr">
        <is>
          <t>Purchase of machinery and equipment</t>
        </is>
      </c>
      <c r="C951" s="6" t="inlineStr">
        <is>
          <t>购置机器设备</t>
        </is>
      </c>
      <c r="D951" s="6" t="inlineStr">
        <is>
          <t>購買機器設備</t>
        </is>
      </c>
    </row>
    <row r="952" customFormat="1" s="8">
      <c r="A952" s="6" t="inlineStr">
        <is>
          <t>Mua nguyên liệu</t>
        </is>
      </c>
      <c r="B952" s="6" t="inlineStr">
        <is>
          <t>Purchase of raw materials</t>
        </is>
      </c>
      <c r="C952" s="6" t="inlineStr">
        <is>
          <t>采购材料</t>
        </is>
      </c>
      <c r="D952" s="6" t="inlineStr">
        <is>
          <t>採購材料</t>
        </is>
      </c>
    </row>
    <row r="953" ht="27.6" customFormat="1" customHeight="1" s="8">
      <c r="A953" s="6" t="inlineStr">
        <is>
          <t>Mua nguyên phụ liệu</t>
        </is>
      </c>
      <c r="B953" s="6" t="inlineStr">
        <is>
          <t>Purchase of raw and auxiliary materials</t>
        </is>
      </c>
      <c r="C953" s="6" t="inlineStr">
        <is>
          <t>采购原辅料</t>
        </is>
      </c>
      <c r="D953" s="6" t="inlineStr">
        <is>
          <t>採購原輔料</t>
        </is>
      </c>
    </row>
    <row r="954" customFormat="1" s="8">
      <c r="A954" s="6" t="inlineStr">
        <is>
          <t>Mua nguyên vật liệu</t>
        </is>
      </c>
      <c r="B954" s="6" t="inlineStr">
        <is>
          <t>Purchase of raw materials</t>
        </is>
      </c>
      <c r="C954" s="6" t="inlineStr">
        <is>
          <t>购买原材料</t>
        </is>
      </c>
      <c r="D954" s="6" t="inlineStr">
        <is>
          <t>購買原材料</t>
        </is>
      </c>
    </row>
    <row r="955" ht="27.6" customFormat="1" customHeight="1" s="8">
      <c r="A955" s="6" t="inlineStr">
        <is>
          <t>Mua nguyên vật liệu, công cụ, tài sản</t>
        </is>
      </c>
      <c r="B955" s="6" t="inlineStr">
        <is>
          <t>Purchase of raw materials, tools and assets</t>
        </is>
      </c>
      <c r="C955" s="6" t="inlineStr">
        <is>
          <t>购买原材料、工具、资产</t>
        </is>
      </c>
      <c r="D955" s="6" t="inlineStr">
        <is>
          <t>購買原材料、工具、資產</t>
        </is>
      </c>
    </row>
    <row r="956" ht="27.6" customFormat="1" customHeight="1" s="8">
      <c r="A956" s="6" t="inlineStr">
        <is>
          <t>Mua nguyên vật liệu, hàng hóa</t>
        </is>
      </c>
      <c r="B956" s="14" t="inlineStr">
        <is>
          <t>Purchase of raw materials and goods</t>
        </is>
      </c>
      <c r="C956" s="6" t="inlineStr">
        <is>
          <t>采购原材料和商品</t>
        </is>
      </c>
      <c r="D956" s="6" t="inlineStr">
        <is>
          <t>採購原材料和商品</t>
        </is>
      </c>
    </row>
    <row r="957" ht="27.6" customFormat="1" customHeight="1" s="8">
      <c r="A957" s="6" t="inlineStr">
        <is>
          <t>Mua nguyên vật liệu, thành phẩm</t>
        </is>
      </c>
      <c r="B957" s="6" t="inlineStr">
        <is>
          <t>Purchase of raw materials and finished goods</t>
        </is>
      </c>
      <c r="C957" s="6" t="inlineStr">
        <is>
          <t>采购原物料、制成品</t>
        </is>
      </c>
      <c r="D957" s="6" t="inlineStr">
        <is>
          <t>採購原物料、製成品</t>
        </is>
      </c>
    </row>
    <row r="958" ht="27.6" customFormat="1" customHeight="1" s="8">
      <c r="A958" s="6" t="inlineStr">
        <is>
          <t>Mua sắm máy móc thiết bị</t>
        </is>
      </c>
      <c r="B958" s="6" t="inlineStr">
        <is>
          <t>Purchase of machinery and equipment</t>
        </is>
      </c>
      <c r="C958" s="6" t="inlineStr">
        <is>
          <t>购置机器设备</t>
        </is>
      </c>
      <c r="D958" s="6" t="inlineStr">
        <is>
          <t>購置機器設備</t>
        </is>
      </c>
    </row>
    <row r="959" ht="27.6" customFormat="1" customHeight="1" s="8">
      <c r="A959" s="6" t="inlineStr">
        <is>
          <t>Mua sắm máy móc, thiết bị</t>
        </is>
      </c>
      <c r="B959" s="6" t="inlineStr">
        <is>
          <t>Purchase of machinery and equipment</t>
        </is>
      </c>
      <c r="C959" s="6" t="inlineStr">
        <is>
          <t>购置机器、设备</t>
        </is>
      </c>
      <c r="D959" s="6" t="inlineStr">
        <is>
          <t>購置機器、設備</t>
        </is>
      </c>
    </row>
    <row r="960" customFormat="1" s="8">
      <c r="A960" s="6" t="inlineStr">
        <is>
          <t>Mua sắm tài sản cố định</t>
        </is>
      </c>
      <c r="B960" s="6" t="inlineStr">
        <is>
          <t>Purchase of fixed assets</t>
        </is>
      </c>
      <c r="C960" s="6" t="inlineStr">
        <is>
          <t>购置固定资产</t>
        </is>
      </c>
      <c r="D960" s="6" t="inlineStr">
        <is>
          <t>購置固定資產</t>
        </is>
      </c>
    </row>
    <row r="961" customFormat="1" s="8">
      <c r="A961" s="6" t="inlineStr">
        <is>
          <t>Mua tài sản</t>
        </is>
      </c>
      <c r="B961" s="6" t="inlineStr">
        <is>
          <t>Purchase of assets</t>
        </is>
      </c>
      <c r="C961" s="6" t="inlineStr">
        <is>
          <t>购置资产</t>
        </is>
      </c>
      <c r="D961" s="6" t="inlineStr">
        <is>
          <t>購置資產</t>
        </is>
      </c>
    </row>
    <row r="962" customFormat="1" s="8">
      <c r="A962" s="6" t="inlineStr">
        <is>
          <t>Mua tài sản cố định</t>
        </is>
      </c>
      <c r="B962" s="14" t="inlineStr">
        <is>
          <t>Purchase of fixed assets</t>
        </is>
      </c>
      <c r="C962" s="6" t="inlineStr">
        <is>
          <t>购置固定资产</t>
        </is>
      </c>
      <c r="D962" s="6" t="inlineStr">
        <is>
          <t>購置固定資產</t>
        </is>
      </c>
    </row>
    <row r="963" customFormat="1" s="8">
      <c r="A963" s="6" t="inlineStr">
        <is>
          <t>Mua trong năm</t>
        </is>
      </c>
      <c r="B963" s="6" t="inlineStr">
        <is>
          <t>Purchases</t>
        </is>
      </c>
      <c r="C963" s="6" t="inlineStr">
        <is>
          <t>年度內购买</t>
        </is>
      </c>
      <c r="D963" s="6" t="inlineStr">
        <is>
          <t>年度內購買</t>
        </is>
      </c>
    </row>
    <row r="964" customFormat="1" s="8">
      <c r="A964" s="6" t="inlineStr">
        <is>
          <t>Mục đích vay</t>
        </is>
      </c>
      <c r="B964" s="6" t="inlineStr">
        <is>
          <t>Purposes of borrowing</t>
        </is>
      </c>
      <c r="C964" s="6" t="inlineStr">
        <is>
          <t>借款用途</t>
        </is>
      </c>
      <c r="D964" s="6" t="inlineStr">
        <is>
          <t>借款用途</t>
        </is>
      </c>
    </row>
    <row r="965" customFormat="1" s="8">
      <c r="A965" s="6" t="inlineStr">
        <is>
          <t>Mượn tiền</t>
        </is>
      </c>
      <c r="B965" s="6" t="inlineStr">
        <is>
          <t>Borrowings</t>
        </is>
      </c>
      <c r="C965" s="6" t="inlineStr">
        <is>
          <t>借用款</t>
        </is>
      </c>
      <c r="D965" s="6" t="inlineStr">
        <is>
          <t>借用款</t>
        </is>
      </c>
    </row>
    <row r="966" customFormat="1" s="8">
      <c r="A966" s="6" t="inlineStr">
        <is>
          <t>Năm</t>
        </is>
      </c>
      <c r="B966" s="14" t="inlineStr">
        <is>
          <t>Year-chọn-Years</t>
        </is>
      </c>
      <c r="C966" s="6" t="inlineStr">
        <is>
          <t>耐用年限-chọn-年</t>
        </is>
      </c>
      <c r="D966" s="6" t="inlineStr">
        <is>
          <t>耐用年限-chọn-年</t>
        </is>
      </c>
    </row>
    <row r="967" customFormat="1" s="8">
      <c r="A967" s="6" t="inlineStr">
        <is>
          <t>Năm nay</t>
        </is>
      </c>
      <c r="B967" s="6" t="inlineStr">
        <is>
          <t>Current year</t>
        </is>
      </c>
      <c r="C967" s="6" t="inlineStr">
        <is>
          <t>本年</t>
        </is>
      </c>
      <c r="D967" s="6" t="inlineStr">
        <is>
          <t>本年</t>
        </is>
      </c>
    </row>
    <row r="968" customFormat="1" s="8">
      <c r="A968" s="6" t="inlineStr">
        <is>
          <t>Năm trước</t>
        </is>
      </c>
      <c r="B968" s="6" t="inlineStr">
        <is>
          <t>Prior year</t>
        </is>
      </c>
      <c r="C968" s="6" t="inlineStr">
        <is>
          <t>去年</t>
        </is>
      </c>
      <c r="D968" s="6" t="inlineStr">
        <is>
          <t>去年</t>
        </is>
      </c>
    </row>
    <row r="969" ht="96.59999999999999" customFormat="1" customHeight="1" s="8">
      <c r="A969" s="6" t="inlineStr">
        <is>
          <t>Nêu rõ các Chuẩn mực kế toán thích hợp có được tuân thủ hay không, có những áp dụng sai lệch trọng yếu cần được công bố và giải thích trong Báo cáo tài chính hay không; và</t>
        </is>
      </c>
      <c r="B969" s="6" t="inlineStr">
        <is>
          <t>State whether applicable Accounting standards have been followed, subject to any material departures disclosed and explained in the financial statements; and</t>
        </is>
      </c>
      <c r="C969" s="6" t="inlineStr">
        <is>
          <t>声明是否遵循会计准则，重大差错是否已在本财务报表中得以揭露及说明；以及</t>
        </is>
      </c>
      <c r="D969" s="6" t="inlineStr">
        <is>
          <t>聲明是否遵循會計準則，重大差錯是否已在本財務報表中得以揭露及說明；以及</t>
        </is>
      </c>
    </row>
    <row r="970" customFormat="1" s="8">
      <c r="A970" s="6" t="inlineStr">
        <is>
          <t>Ngắn hạn</t>
        </is>
      </c>
      <c r="B970" s="6" t="inlineStr">
        <is>
          <t>Short term</t>
        </is>
      </c>
      <c r="C970" s="6" t="inlineStr">
        <is>
          <t>短期</t>
        </is>
      </c>
      <c r="D970" s="6" t="inlineStr">
        <is>
          <t>短期</t>
        </is>
      </c>
    </row>
    <row r="971" customFormat="1" s="8">
      <c r="A971" s="6" t="inlineStr">
        <is>
          <t>Ngân hàng</t>
        </is>
      </c>
      <c r="B971" s="14" t="inlineStr">
        <is>
          <t>Bank</t>
        </is>
      </c>
      <c r="C971" s="6" t="inlineStr">
        <is>
          <t>银行</t>
        </is>
      </c>
      <c r="D971" s="6" t="inlineStr">
        <is>
          <t>銀行</t>
        </is>
      </c>
    </row>
    <row r="972" ht="27.6" customFormat="1" customHeight="1" s="8">
      <c r="A972" s="6" t="inlineStr">
        <is>
          <t>Ngân hàng thương mại cổ phần Ngoại thương Việt Nam</t>
        </is>
      </c>
      <c r="B972" s="6" t="inlineStr">
        <is>
          <t>Joint Stock Commercial Bank for Foreign Trade of Vietnam</t>
        </is>
      </c>
      <c r="C972" s="6" t="inlineStr">
        <is>
          <t>Joint Stock Commercial Bank for Foreign Trade of Vietnam</t>
        </is>
      </c>
      <c r="D972" s="6" t="inlineStr">
        <is>
          <t>Vietcombank</t>
        </is>
      </c>
    </row>
    <row r="973" customFormat="1" s="8">
      <c r="A973" s="6" t="inlineStr">
        <is>
          <t>Ngành nghề kinh doanh</t>
        </is>
      </c>
      <c r="B973" s="14" t="inlineStr">
        <is>
          <t>Business activities</t>
        </is>
      </c>
      <c r="C973" s="6" t="inlineStr">
        <is>
          <t>经营范围</t>
        </is>
      </c>
      <c r="D973" s="6" t="inlineStr">
        <is>
          <t>經營範圍</t>
        </is>
      </c>
    </row>
    <row r="974" ht="27.6" customFormat="1" customHeight="1" s="8">
      <c r="A974" s="6" t="inlineStr">
        <is>
          <t>Ngành nghề kinh doanh của Công ty là:</t>
        </is>
      </c>
      <c r="B974" s="6" t="inlineStr">
        <is>
          <t>The business activities of the Company are:</t>
        </is>
      </c>
      <c r="C974" s="6" t="inlineStr">
        <is>
          <t>公司的经营范围包含以下项目：</t>
        </is>
      </c>
      <c r="D974" s="6" t="inlineStr">
        <is>
          <t>公司之經營範圍包含以下項目：</t>
        </is>
      </c>
    </row>
    <row r="975" customFormat="1" s="8">
      <c r="A975" s="6" t="inlineStr">
        <is>
          <t>Ngày</t>
        </is>
      </c>
      <c r="B975" s="6" t="inlineStr">
        <is>
          <t>Date</t>
        </is>
      </c>
      <c r="C975" s="6" t="inlineStr">
        <is>
          <t>合同日期</t>
        </is>
      </c>
      <c r="D975" s="6" t="inlineStr">
        <is>
          <t>合約日期</t>
        </is>
      </c>
    </row>
    <row r="976" customFormat="1" s="8">
      <c r="A976" s="6" t="inlineStr">
        <is>
          <t>Ngày đáo hạn</t>
        </is>
      </c>
      <c r="B976" s="6" t="inlineStr">
        <is>
          <t>Maturity date</t>
        </is>
      </c>
      <c r="C976" s="6" t="inlineStr">
        <is>
          <t>到期日期</t>
        </is>
      </c>
      <c r="D976" s="6" t="inlineStr">
        <is>
          <t>到期日期</t>
        </is>
      </c>
    </row>
    <row r="977" customFormat="1" s="8">
      <c r="A977" s="6" t="inlineStr">
        <is>
          <t>Ngày gia hạn</t>
        </is>
      </c>
      <c r="B977" s="6" t="inlineStr">
        <is>
          <t>Extension date</t>
        </is>
      </c>
      <c r="C977" s="6" t="inlineStr">
        <is>
          <t>续约日</t>
        </is>
      </c>
      <c r="D977" s="6" t="inlineStr">
        <is>
          <t>續約日</t>
        </is>
      </c>
    </row>
    <row r="978" customFormat="1" s="8">
      <c r="A978" s="6" t="inlineStr">
        <is>
          <t>Ngày giải ngân</t>
        </is>
      </c>
      <c r="B978" s="6" t="inlineStr">
        <is>
          <t>Disbursement date</t>
        </is>
      </c>
      <c r="C978" s="6" t="inlineStr">
        <is>
          <t>放款日</t>
        </is>
      </c>
      <c r="D978" s="6" t="inlineStr">
        <is>
          <t>放款日</t>
        </is>
      </c>
    </row>
    <row r="979" customFormat="1" s="8">
      <c r="A979" s="6" t="inlineStr">
        <is>
          <t>Ngày hợp đồng</t>
        </is>
      </c>
      <c r="B979" s="6" t="inlineStr">
        <is>
          <t>Contract date</t>
        </is>
      </c>
      <c r="C979" s="6" t="inlineStr">
        <is>
          <t>合同日期</t>
        </is>
      </c>
      <c r="D979" s="6" t="inlineStr">
        <is>
          <t>合約日期</t>
        </is>
      </c>
    </row>
    <row r="980" customFormat="1" s="8">
      <c r="A980" s="6" t="inlineStr">
        <is>
          <t>Ngày phụ lục</t>
        </is>
      </c>
      <c r="B980" s="6" t="inlineStr">
        <is>
          <t xml:space="preserve">Addendum date </t>
        </is>
      </c>
      <c r="C980" s="6" t="inlineStr">
        <is>
          <t>附件日期</t>
        </is>
      </c>
      <c r="D980" s="6" t="inlineStr">
        <is>
          <t>附錄日期</t>
        </is>
      </c>
    </row>
    <row r="981" ht="41.4" customFormat="1" customHeight="1" s="8">
      <c r="A981" s="6" t="inlineStr">
        <is>
          <t>Nghĩa vụ nộp thuế thu nhập doanh nghiệp của Công ty như sau:</t>
        </is>
      </c>
      <c r="B981" s="14" t="inlineStr">
        <is>
          <t>The Company is obliged to pay the corporate income tax as follows:</t>
        </is>
      </c>
      <c r="C981" s="6" t="inlineStr">
        <is>
          <t>公司企业所得税纳税义务如下：</t>
        </is>
      </c>
      <c r="D981" s="6" t="inlineStr">
        <is>
          <t>公司企業所得稅納稅義務如下：</t>
        </is>
      </c>
    </row>
    <row r="982" customFormat="1" s="8">
      <c r="A982" s="6" t="inlineStr">
        <is>
          <t>Ngoại tệ</t>
        </is>
      </c>
      <c r="B982" s="14" t="inlineStr">
        <is>
          <t>Foreign currency</t>
        </is>
      </c>
      <c r="C982" s="6" t="inlineStr">
        <is>
          <t>外币</t>
        </is>
      </c>
      <c r="D982" s="6" t="inlineStr">
        <is>
          <t>外幣</t>
        </is>
      </c>
    </row>
    <row r="983" customFormat="1" s="8">
      <c r="A983" s="6" t="inlineStr">
        <is>
          <t>Ngoại tệ các loại</t>
        </is>
      </c>
      <c r="B983" s="6" t="inlineStr">
        <is>
          <t>Foreign currencies</t>
        </is>
      </c>
      <c r="C983" s="6" t="inlineStr">
        <is>
          <t>各类外币</t>
        </is>
      </c>
      <c r="D983" s="6" t="inlineStr">
        <is>
          <t>各類外幣</t>
        </is>
      </c>
    </row>
    <row r="984" customFormat="1" s="8">
      <c r="A984" s="6" t="inlineStr">
        <is>
          <t>Ngoại tệ các loại (USD)</t>
        </is>
      </c>
      <c r="B984" s="6" t="inlineStr">
        <is>
          <t>Foreign currencies (USD)</t>
        </is>
      </c>
      <c r="C984" s="6" t="inlineStr">
        <is>
          <t>各类外币（美元）</t>
        </is>
      </c>
      <c r="D984" s="6" t="inlineStr">
        <is>
          <t>各類外幣（美元）</t>
        </is>
      </c>
    </row>
    <row r="985" customFormat="1" s="8">
      <c r="A985" s="6" t="inlineStr">
        <is>
          <t>Ngoại tệ các loại (VND)</t>
        </is>
      </c>
      <c r="B985" s="6" t="inlineStr">
        <is>
          <t>Foreign currencies (VND)</t>
        </is>
      </c>
      <c r="C985" s="6" t="inlineStr">
        <is>
          <t>各类外币（越南盾）</t>
        </is>
      </c>
      <c r="D985" s="6" t="inlineStr">
        <is>
          <t>各類外幣（越南盾）</t>
        </is>
      </c>
    </row>
    <row r="986" customFormat="1" s="8">
      <c r="A986" s="6" t="inlineStr">
        <is>
          <t>Ngoại tệ các loại:</t>
        </is>
      </c>
      <c r="B986" s="6" t="inlineStr">
        <is>
          <t>Foreign currencies:</t>
        </is>
      </c>
      <c r="C986" s="6" t="inlineStr">
        <is>
          <t>各类外币：</t>
        </is>
      </c>
      <c r="D986" s="6" t="inlineStr">
        <is>
          <t>各類外幣：</t>
        </is>
      </c>
    </row>
    <row r="987" customFormat="1" s="8">
      <c r="A987" s="6" t="inlineStr">
        <is>
          <t>Người lập biểu</t>
        </is>
      </c>
      <c r="B987" s="6" t="inlineStr">
        <is>
          <t>In charge of report</t>
        </is>
      </c>
      <c r="C987" s="6" t="inlineStr">
        <is>
          <t>制表人</t>
        </is>
      </c>
      <c r="D987" s="6" t="inlineStr">
        <is>
          <t>製表人</t>
        </is>
      </c>
    </row>
    <row r="988" ht="27.6" customFormat="1" customHeight="1" s="8">
      <c r="A988" s="6" t="inlineStr">
        <is>
          <t>Người lập biểu kiêm kế toán trưởng</t>
        </is>
      </c>
      <c r="B988" s="6" t="inlineStr">
        <is>
          <t>In charge of report cum Chief Accountant</t>
        </is>
      </c>
      <c r="C988" s="6" t="inlineStr">
        <is>
          <t>制表人兼会计长</t>
        </is>
      </c>
      <c r="D988" s="6" t="inlineStr">
        <is>
          <t>製表人兼會計長</t>
        </is>
      </c>
    </row>
    <row r="989" ht="27.6" customFormat="1" customHeight="1" s="8">
      <c r="A989" s="6" t="inlineStr">
        <is>
          <t>Người lập biểu kiêm phụ trách kế toán</t>
        </is>
      </c>
      <c r="B989" s="6" t="inlineStr">
        <is>
          <t>In charge of report cum Accountant in charge</t>
        </is>
      </c>
      <c r="C989" s="6" t="inlineStr">
        <is>
          <t>制表人兼会计负责人</t>
        </is>
      </c>
      <c r="D989" s="6" t="inlineStr">
        <is>
          <t>製表人兼會計負責人</t>
        </is>
      </c>
    </row>
    <row r="990" customFormat="1" s="8">
      <c r="A990" s="6" t="inlineStr">
        <is>
          <t>Người mua trả tiền trước</t>
        </is>
      </c>
      <c r="B990" s="14" t="inlineStr">
        <is>
          <t>Advances from customers</t>
        </is>
      </c>
      <c r="C990" s="6" t="inlineStr">
        <is>
          <t>向客户预收的款项</t>
        </is>
      </c>
      <c r="D990" s="6" t="inlineStr">
        <is>
          <t>向客戶預收之款項</t>
        </is>
      </c>
    </row>
    <row r="991" ht="27.6" customFormat="1" customHeight="1" s="8">
      <c r="A991" s="6" t="inlineStr">
        <is>
          <t>Người mua trả tiền trước dài hạn</t>
        </is>
      </c>
      <c r="B991" s="14" t="inlineStr">
        <is>
          <t>Long-term advances from customers</t>
        </is>
      </c>
      <c r="C991" s="6" t="inlineStr">
        <is>
          <t>向客户预收的长期款项</t>
        </is>
      </c>
      <c r="D991" s="6" t="inlineStr">
        <is>
          <t>向客戶預收之長期款項</t>
        </is>
      </c>
    </row>
    <row r="992" ht="27.6" customFormat="1" customHeight="1" s="8">
      <c r="A992" s="6" t="inlineStr">
        <is>
          <t>Người mua trả tiền trước ngắn hạn</t>
        </is>
      </c>
      <c r="B992" s="14" t="inlineStr">
        <is>
          <t>Short-term advances from customers</t>
        </is>
      </c>
      <c r="C992" s="6" t="inlineStr">
        <is>
          <t>向客户预收的短期款项</t>
        </is>
      </c>
      <c r="D992" s="6" t="inlineStr">
        <is>
          <t>向客戶預收之短期款項</t>
        </is>
      </c>
    </row>
    <row r="993" ht="27.6" customFormat="1" customHeight="1" s="8">
      <c r="A993" s="6" t="inlineStr">
        <is>
          <t>Người mua trả tiền trước ngắn hạn và dài hạn</t>
        </is>
      </c>
      <c r="B993" s="14" t="inlineStr">
        <is>
          <t>Short-term and long-term advances from customers</t>
        </is>
      </c>
      <c r="C993" s="6" t="inlineStr">
        <is>
          <t>向客户预收的短期和长期款项</t>
        </is>
      </c>
      <c r="D993" s="6" t="inlineStr">
        <is>
          <t>向客戶預收的短期和長期款項</t>
        </is>
      </c>
    </row>
    <row r="994" ht="27.6" customFormat="1" customHeight="1" s="8">
      <c r="A994" s="6" t="inlineStr">
        <is>
          <t>Người mua trả tiền trước ngắn hạn, dài hạn</t>
        </is>
      </c>
      <c r="B994" s="14" t="inlineStr">
        <is>
          <t>Short-term and long-term advances from customers</t>
        </is>
      </c>
      <c r="C994" s="6" t="inlineStr">
        <is>
          <t>向客户预收的短期/长期款项</t>
        </is>
      </c>
      <c r="D994" s="6" t="inlineStr">
        <is>
          <t>向客戶預收之短期/長期款項</t>
        </is>
      </c>
    </row>
    <row r="995" customFormat="1" s="8">
      <c r="A995" s="6" t="inlineStr">
        <is>
          <t>Nguồn kinh phí</t>
        </is>
      </c>
      <c r="B995" s="14" t="inlineStr">
        <is>
          <t>Non-business funds</t>
        </is>
      </c>
      <c r="C995" s="6" t="inlineStr">
        <is>
          <t>非营业基金</t>
        </is>
      </c>
      <c r="D995" s="6" t="inlineStr">
        <is>
          <t>非營業基金</t>
        </is>
      </c>
    </row>
    <row r="996" ht="27.6" customFormat="1" customHeight="1" s="8">
      <c r="A996" s="6" t="inlineStr">
        <is>
          <t>Nguồn kinh phí đã hình thành tài sản cố định</t>
        </is>
      </c>
      <c r="B996" s="14" t="inlineStr">
        <is>
          <t>Non-business funds used for fixed asset acquisition</t>
        </is>
      </c>
      <c r="C996" s="6" t="inlineStr">
        <is>
          <t>用于购建固定资产的非营业基金</t>
        </is>
      </c>
      <c r="D996" s="6" t="inlineStr">
        <is>
          <t>用於購建固定資產之非營業基金</t>
        </is>
      </c>
    </row>
    <row r="997" customFormat="1" s="8">
      <c r="A997" s="6" t="inlineStr">
        <is>
          <t>Nguồn kinh phí và quỹ khác</t>
        </is>
      </c>
      <c r="B997" s="14" t="inlineStr">
        <is>
          <t>Other funds</t>
        </is>
      </c>
      <c r="C997" s="6" t="inlineStr">
        <is>
          <t>经费来源及其他基金</t>
        </is>
      </c>
      <c r="D997" s="6" t="inlineStr">
        <is>
          <t>經費來源及其他基金</t>
        </is>
      </c>
    </row>
    <row r="998" ht="27.6" customFormat="1" customHeight="1" s="8">
      <c r="A998" s="6" t="inlineStr">
        <is>
          <t>Nguồn vốn đầu tư xây dựng cơ bản</t>
        </is>
      </c>
      <c r="B998" s="6" t="inlineStr">
        <is>
          <t>Basic construction funds</t>
        </is>
      </c>
      <c r="C998" s="6" t="inlineStr">
        <is>
          <t>基本建设资金</t>
        </is>
      </c>
      <c r="D998" s="6" t="inlineStr">
        <is>
          <t xml:space="preserve">	基本建設資金</t>
        </is>
      </c>
    </row>
    <row r="999" customFormat="1" s="8">
      <c r="A999" s="6" t="inlineStr">
        <is>
          <t>Nguyên giá</t>
        </is>
      </c>
      <c r="B999" s="14" t="inlineStr">
        <is>
          <t>Cost</t>
        </is>
      </c>
      <c r="C999" s="6" t="inlineStr">
        <is>
          <t>原始成本</t>
        </is>
      </c>
      <c r="D999" s="6" t="inlineStr">
        <is>
          <t>原始成本</t>
        </is>
      </c>
    </row>
    <row r="1000" ht="262.2" customFormat="1" customHeight="1" s="8">
      <c r="A1000" s="6" t="inlineStr">
        <is>
          <t>Nguyên giá bao gồm toàn bộ các chi phí mà doanh nghiệp phải bỏ ra để có được tài sản cố định tính đến thời điểm đưa tài sản đó vào trạng thái sẵn sàng sử dụng. Các chi phí phát sinh sau ghi nhận ban đầu chỉ được ghi tăng nguyên giá tài sản cố định nếu các chi phí này chắc chắn làm tăng lợi ích kinh tế trong tương lai do sử dụng tài sản đó. Các chi phí phát sinh không thỏa mãn điều kiện trên được ghi nhận là chi phí sản xuất, kinh doanh trong kỳ.</t>
        </is>
      </c>
      <c r="B1000" s="6" t="inlineStr">
        <is>
          <t>The cost of purchased fixed assets comprises its purchase price and any directly attributable costs of bringing the assets to its working condition and location for its intended use. Expenses incurred after initial recognition are only entitled to record to increase the costs of tangible fixed assets if it is definite that, by using those assets, future economic benefits will surely be obtained from those expenses. Incurred expenses do not satisfy the above criteria are determined as business and operation expenses in the fiscal year.</t>
        </is>
      </c>
      <c r="C1000" s="6" t="inlineStr">
        <is>
          <t>有形固定资产原始成本（原值）是企业购建某项固定资产并使其达到可供使用状态前发生的必要支出。在原始认列后，固定资产后续支出仅在确定使该资产带来未来经济利益时列为固定资产原始成本增加。若后续支出不具备此条件，则列入当期生产、营业费用。</t>
        </is>
      </c>
      <c r="D1000" s="6" t="inlineStr">
        <is>
          <t>有形固定資產原始成本（原值）乃企業購建某項固定資產並使其達到可供使用狀態前發生之必要支出。在原始認列後，固定資產後續支出僅在確定使該資產帶來未來經濟利益時列為固定資產原始成本增加。若後續支出不具備此條件，則列入當期生產、營業費用。</t>
        </is>
      </c>
    </row>
    <row r="1001" ht="27.6" customFormat="1" customHeight="1" s="8">
      <c r="A1001" s="6" t="inlineStr">
        <is>
          <t>Nguyên giá tài sản cố định hữu hình cuối năm chờ thanh lý</t>
        </is>
      </c>
      <c r="B1001" s="6" t="inlineStr">
        <is>
          <t>Cost of tangible fixed assets pending disposal</t>
        </is>
      </c>
      <c r="C1001" s="6" t="inlineStr">
        <is>
          <t>待处置的有形固定资产原始成本</t>
        </is>
      </c>
      <c r="D1001" s="6" t="inlineStr">
        <is>
          <t>待處置之有形固定資產原始成本</t>
        </is>
      </c>
    </row>
    <row r="1002" ht="41.4" customFormat="1" customHeight="1" s="8">
      <c r="A1002" s="6" t="inlineStr">
        <is>
          <t>Nguyên giá tài sản cố định hữu hình cuối năm đã khấu hao hết nhưng vẫn còn sử dụng là:</t>
        </is>
      </c>
      <c r="B1002" s="6" t="inlineStr">
        <is>
          <t>Cost of tangible fixed assets with exhausted depreciation, which were still kept using:</t>
        </is>
      </c>
      <c r="C1002" s="6" t="inlineStr">
        <is>
          <t>已折旧完而仍在使用的有形固定资产原始成本：</t>
        </is>
      </c>
      <c r="D1002" s="6" t="inlineStr">
        <is>
          <t>已折舊完而仍在使用之有形固定資產原始成本：</t>
        </is>
      </c>
    </row>
    <row r="1003" ht="41.4" customFormat="1" customHeight="1" s="8">
      <c r="A1003" s="6" t="inlineStr">
        <is>
          <t>Nguyên giá tài sản cố định hữu hình cuối năm đã khấu hao hết nhưng vẫn còn sử dụng:</t>
        </is>
      </c>
      <c r="B1003" s="14" t="inlineStr">
        <is>
          <t>Cost of tangible fixed assets with exhausted depreciation, which were still kept using:</t>
        </is>
      </c>
      <c r="C1003" s="6" t="inlineStr">
        <is>
          <t>已折旧完而仍在使用的有形固定资产原始成本：</t>
        </is>
      </c>
      <c r="D1003" s="6" t="inlineStr">
        <is>
          <t>已折舊完而仍在使用之有形固定資產原始成本：</t>
        </is>
      </c>
    </row>
    <row r="1004" ht="41.4" customFormat="1" customHeight="1" s="8">
      <c r="A1004" s="6" t="inlineStr">
        <is>
          <t>Nguyên giá tài sản cố định vô hình cuối năm đã khấu hao hết nhưng vẫn còn sử dụng</t>
        </is>
      </c>
      <c r="B1004" s="14" t="inlineStr">
        <is>
          <t>Cost of intangible fixed assets with exhausted amortisation, which were still kept using</t>
        </is>
      </c>
      <c r="C1004" s="6" t="inlineStr">
        <is>
          <t>已折旧完而仍在使用的无形固定资产原始成本</t>
        </is>
      </c>
      <c r="D1004" s="6" t="inlineStr">
        <is>
          <t>已折舊完而仍在使用的無形固定資產原始成本</t>
        </is>
      </c>
    </row>
    <row r="1005" ht="41.4" customFormat="1" customHeight="1" s="8">
      <c r="A1005" s="6" t="inlineStr">
        <is>
          <t>Nguyên giá tài sản cố định vô hình cuối năm đã khấu hao hết nhưng vẫn còn sử dụng:</t>
        </is>
      </c>
      <c r="B1005" s="6" t="inlineStr">
        <is>
          <t>Cost of intangible fixed assets with exhausted amortisation, which were still kept using:</t>
        </is>
      </c>
      <c r="C1005" s="6" t="inlineStr">
        <is>
          <t>已提足折旧的无形固定资产原始成本，仍继续使用中:</t>
        </is>
      </c>
      <c r="D1005" s="6" t="inlineStr">
        <is>
          <t>已提足折舊之無形固定資產原始成本，仍繼續使用中:</t>
        </is>
      </c>
    </row>
    <row r="1006" ht="96.59999999999999" customFormat="1" customHeight="1" s="8">
      <c r="A1006" s="6" t="inlineStr">
        <is>
          <t>Nguyên giá tài sản vô hình là toàn bộ các chi phí mà Công ty đã chi ra tính đến thời điểm đưa vào sử dụng và được khấu hao theo phương pháp đường thẳng dựa trên thời gian hữu dụng ước tính.</t>
        </is>
      </c>
      <c r="B1006" s="6" t="inlineStr">
        <is>
          <t>Costs of intangible assets comprise all expenses that the Company had already paid until the assets were put into use and are depreciated, on a straight-line basis, over the estimated useful lives.</t>
        </is>
      </c>
      <c r="C1006" s="6" t="inlineStr">
        <is>
          <t>无形资产原始价值（原值）是指公司为并使其达到可供使用状态前发生的必要支出，且按照估计耐用年限采用直线法提列折旧。</t>
        </is>
      </c>
      <c r="D1006" s="6" t="inlineStr">
        <is>
          <t>無形資產原始價值（原值）是指公司為使其達到可供使用狀態前發生的必要支出，且按照估計耐用年限採用直線法提列折舊。</t>
        </is>
      </c>
    </row>
    <row r="1007" customFormat="1" s="8">
      <c r="A1007" s="6" t="inlineStr">
        <is>
          <t>Nguyên liệu, vật liệu</t>
        </is>
      </c>
      <c r="B1007" s="14" t="inlineStr">
        <is>
          <t>Raw materials</t>
        </is>
      </c>
      <c r="C1007" s="6" t="inlineStr">
        <is>
          <t>原材料</t>
        </is>
      </c>
      <c r="D1007" s="6" t="inlineStr">
        <is>
          <t>原材料</t>
        </is>
      </c>
    </row>
    <row r="1008" ht="55.2" customFormat="1" customHeight="1" s="8">
      <c r="A1008" s="6" t="inlineStr">
        <is>
          <t>Nguyên tắc chuyển đổi Báo cáo tài chính lập bằng ngoại tệ sang Đồng Việt Nam</t>
        </is>
      </c>
      <c r="B1008" s="14" t="inlineStr">
        <is>
          <t>Method of converting the financial statements prepared in foreign currencies into Vietnamese Dongs</t>
        </is>
      </c>
      <c r="C1008" s="6" t="inlineStr">
        <is>
          <t>外币财务报表折算为越南盾的原则</t>
        </is>
      </c>
      <c r="D1008" s="6" t="inlineStr">
        <is>
          <t>外幣財務報表折算為越盾之原則</t>
        </is>
      </c>
    </row>
    <row r="1009" customFormat="1" s="8">
      <c r="A1009" s="6" t="inlineStr">
        <is>
          <t>Nhà bảo vệ</t>
        </is>
      </c>
      <c r="B1009" s="6" t="inlineStr">
        <is>
          <t>Guardhouses</t>
        </is>
      </c>
      <c r="C1009" s="6" t="inlineStr">
        <is>
          <t>保安室</t>
        </is>
      </c>
      <c r="D1009" s="6" t="inlineStr">
        <is>
          <t>保安室</t>
        </is>
      </c>
    </row>
    <row r="1010" customFormat="1" s="8">
      <c r="A1010" s="6" t="inlineStr">
        <is>
          <t>Nhà cửa, vật kiến trúc</t>
        </is>
      </c>
      <c r="B1010" s="14" t="inlineStr">
        <is>
          <t>Buildings, structures</t>
        </is>
      </c>
      <c r="C1010" s="6" t="inlineStr">
        <is>
          <t>房屋、建筑物</t>
        </is>
      </c>
      <c r="D1010" s="6" t="inlineStr">
        <is>
          <t>房屋、建築物</t>
        </is>
      </c>
    </row>
    <row r="1011" customFormat="1" s="8">
      <c r="A1011" s="6" t="inlineStr">
        <is>
          <t>Nhà cung cấp khác</t>
        </is>
      </c>
      <c r="B1011" s="14" t="inlineStr">
        <is>
          <t>Other suppliers</t>
        </is>
      </c>
      <c r="C1011" s="6" t="inlineStr">
        <is>
          <t>其他供应商</t>
        </is>
      </c>
      <c r="D1011" s="6" t="inlineStr">
        <is>
          <t>其他供應商</t>
        </is>
      </c>
    </row>
    <row r="1012" customFormat="1" s="8">
      <c r="A1012" s="6" t="inlineStr">
        <is>
          <t>Nhà văn phòng</t>
        </is>
      </c>
      <c r="B1012" s="6" t="inlineStr">
        <is>
          <t>Office buildings</t>
        </is>
      </c>
      <c r="C1012" s="6" t="inlineStr">
        <is>
          <t>办公室</t>
        </is>
      </c>
      <c r="D1012" s="6" t="inlineStr">
        <is>
          <t>辦公室</t>
        </is>
      </c>
    </row>
    <row r="1013" customFormat="1" s="8">
      <c r="A1013" s="6" t="inlineStr">
        <is>
          <t>Nhà xưởng</t>
        </is>
      </c>
      <c r="B1013" s="6" t="inlineStr">
        <is>
          <t>Factory buildings</t>
        </is>
      </c>
      <c r="C1013" s="6" t="inlineStr">
        <is>
          <t>厂房</t>
        </is>
      </c>
      <c r="D1013" s="6" t="inlineStr">
        <is>
          <t>廠房</t>
        </is>
      </c>
    </row>
    <row r="1014" ht="27.6" customFormat="1" customHeight="1" s="8">
      <c r="A1014" s="6" t="inlineStr">
        <is>
          <t>Nhà xưởng cho thuê</t>
        </is>
      </c>
      <c r="B1014" s="6" t="inlineStr">
        <is>
          <t>Factory for lease / Leased factory</t>
        </is>
      </c>
      <c r="C1014" s="6" t="inlineStr">
        <is>
          <t>厂房出租</t>
        </is>
      </c>
      <c r="D1014" s="6" t="inlineStr">
        <is>
          <t>廠房出租</t>
        </is>
      </c>
    </row>
    <row r="1015" customFormat="1" s="8">
      <c r="A1015" s="6" t="inlineStr">
        <is>
          <t>Nhà xưởng, nhà văn phòng</t>
        </is>
      </c>
      <c r="B1015" s="6" t="inlineStr">
        <is>
          <t>Factories and offices</t>
        </is>
      </c>
      <c r="C1015" s="6" t="inlineStr">
        <is>
          <t>工厂、办公室</t>
        </is>
      </c>
      <c r="D1015" s="6" t="inlineStr">
        <is>
          <t>工廠、辦公室</t>
        </is>
      </c>
    </row>
    <row r="1016" customFormat="1" s="8">
      <c r="A1016" s="6" t="inlineStr">
        <is>
          <t>Nhận chi hộ</t>
        </is>
      </c>
      <c r="B1016" s="6" t="inlineStr">
        <is>
          <t>Receipt for on-behalf payments</t>
        </is>
      </c>
      <c r="C1016" s="6" t="inlineStr">
        <is>
          <t>接收代付款</t>
        </is>
      </c>
      <c r="D1016" s="6" t="inlineStr">
        <is>
          <t>接收代付款</t>
        </is>
      </c>
    </row>
    <row r="1017" customFormat="1" s="8">
      <c r="A1017" s="6" t="inlineStr">
        <is>
          <t>Nhận đặt cọc</t>
        </is>
      </c>
      <c r="B1017" s="6" t="inlineStr">
        <is>
          <t>Deposits received</t>
        </is>
      </c>
      <c r="C1017" s="6" t="inlineStr">
        <is>
          <t>收取定金</t>
        </is>
      </c>
      <c r="D1017" s="6" t="inlineStr">
        <is>
          <t>收取定金</t>
        </is>
      </c>
    </row>
    <row r="1018" ht="27.6" customFormat="1" customHeight="1" s="8">
      <c r="A1018" s="6" t="inlineStr">
        <is>
          <t>Nhận đặt cọc, ký cược</t>
        </is>
      </c>
      <c r="B1018" s="6" t="inlineStr">
        <is>
          <t>Deposits and mortgages received</t>
        </is>
      </c>
      <c r="C1018" s="6" t="inlineStr">
        <is>
          <t>收取定金、保证金</t>
        </is>
      </c>
      <c r="D1018" s="6" t="inlineStr">
        <is>
          <t>收取定金、保證金</t>
        </is>
      </c>
    </row>
    <row r="1019" ht="27.6" customFormat="1" customHeight="1" s="8">
      <c r="A1019" s="6" t="inlineStr">
        <is>
          <t>Nhận đặt cọc, ký cược dài hạn</t>
        </is>
      </c>
      <c r="B1019" s="6" t="inlineStr">
        <is>
          <t>Long-term deposits and mortgages received</t>
        </is>
      </c>
      <c r="C1019" s="6" t="inlineStr">
        <is>
          <t>收取短期保证金</t>
        </is>
      </c>
      <c r="D1019" s="6" t="inlineStr">
        <is>
          <t>收取長期保證金</t>
        </is>
      </c>
    </row>
    <row r="1020" ht="27.6" customFormat="1" customHeight="1" s="8">
      <c r="A1020" s="6" t="inlineStr">
        <is>
          <t>Nhận đặt cọc, ký cược ngắn hạn</t>
        </is>
      </c>
      <c r="B1020" s="6" t="inlineStr">
        <is>
          <t>Short-term mortgages and deposits</t>
        </is>
      </c>
      <c r="C1020" s="6" t="inlineStr">
        <is>
          <t>存入短期保证金</t>
        </is>
      </c>
      <c r="D1020" s="6" t="inlineStr">
        <is>
          <t>存入短期保證金</t>
        </is>
      </c>
    </row>
    <row r="1021" customFormat="1" s="8">
      <c r="A1021" s="6" t="inlineStr">
        <is>
          <t>Nhận góp vốn</t>
        </is>
      </c>
      <c r="B1021" s="14" t="inlineStr">
        <is>
          <t>Receipt of capital contribution</t>
        </is>
      </c>
      <c r="C1021" s="6" t="inlineStr">
        <is>
          <t>收取入股资金</t>
        </is>
      </c>
      <c r="D1021" s="6" t="inlineStr">
        <is>
          <t>收取入股資金</t>
        </is>
      </c>
    </row>
    <row r="1022" customFormat="1" s="8">
      <c r="A1022" s="6" t="inlineStr">
        <is>
          <t>Nhận hàng mẫu</t>
        </is>
      </c>
      <c r="B1022" s="6" t="inlineStr">
        <is>
          <t>Receipt of sample products</t>
        </is>
      </c>
      <c r="C1022" s="6" t="inlineStr">
        <is>
          <t>收取样品</t>
        </is>
      </c>
      <c r="D1022" s="6" t="inlineStr">
        <is>
          <t>收取樣品</t>
        </is>
      </c>
    </row>
    <row r="1023" customFormat="1" s="8">
      <c r="A1023" s="6" t="inlineStr">
        <is>
          <t>Nhận tiền góp vốn</t>
        </is>
      </c>
      <c r="B1023" s="14" t="inlineStr">
        <is>
          <t>Receipt of capital contribution</t>
        </is>
      </c>
      <c r="C1023" s="6" t="inlineStr">
        <is>
          <t>收取入股资金</t>
        </is>
      </c>
      <c r="D1023" s="6" t="inlineStr">
        <is>
          <t>收取入股資金</t>
        </is>
      </c>
    </row>
    <row r="1024" customFormat="1" s="8">
      <c r="A1024" s="6" t="inlineStr">
        <is>
          <t>Nhận tiền vay</t>
        </is>
      </c>
      <c r="B1024" s="6" t="inlineStr">
        <is>
          <t>Receipt of borrowings</t>
        </is>
      </c>
      <c r="C1024" s="6" t="inlineStr">
        <is>
          <t>接收借款</t>
        </is>
      </c>
      <c r="D1024" s="6" t="inlineStr">
        <is>
          <t>接收借款</t>
        </is>
      </c>
    </row>
    <row r="1025" ht="27.6" customFormat="1" customHeight="1" s="8">
      <c r="A1025" s="6" t="inlineStr">
        <is>
          <t>Nhận vốn góp</t>
        </is>
      </c>
      <c r="B1025" s="6" t="inlineStr">
        <is>
          <t>Receipts from capital contribution</t>
        </is>
      </c>
      <c r="C1025" s="6" t="inlineStr">
        <is>
          <t>接收入股资金</t>
        </is>
      </c>
      <c r="D1025" s="6" t="inlineStr">
        <is>
          <t>接收入股資金</t>
        </is>
      </c>
    </row>
    <row r="1026" customFormat="1" s="8">
      <c r="A1026" s="6" t="inlineStr">
        <is>
          <t>Nhập khẩu nguyên vật liệu</t>
        </is>
      </c>
      <c r="B1026" s="6" t="inlineStr">
        <is>
          <t>Import of raw materials</t>
        </is>
      </c>
      <c r="C1026" s="6" t="inlineStr">
        <is>
          <t>进口原材料</t>
        </is>
      </c>
      <c r="D1026" s="6" t="inlineStr">
        <is>
          <t>進口原材料</t>
        </is>
      </c>
    </row>
    <row r="1027" ht="27.6" customFormat="1" customHeight="1" s="8">
      <c r="A1027" s="6" t="inlineStr">
        <is>
          <t>Nhập khẩu nguyên vật liệu, thiết bị</t>
        </is>
      </c>
      <c r="B1027" s="6" t="inlineStr">
        <is>
          <t>Import of materials and equipment</t>
        </is>
      </c>
      <c r="C1027" s="6" t="inlineStr">
        <is>
          <t>进口原材料和设备</t>
        </is>
      </c>
      <c r="D1027" s="6" t="inlineStr">
        <is>
          <t>進口原材料和設備</t>
        </is>
      </c>
    </row>
    <row r="1028" ht="27.6" customFormat="1" customHeight="1" s="8">
      <c r="A1028" s="6" t="inlineStr">
        <is>
          <t>Những sự kiện phát sinh sau ngày kết thúc kỳ kế toán năm</t>
        </is>
      </c>
      <c r="B1028" s="6" t="inlineStr">
        <is>
          <t>Events arising after the balance sheet date</t>
        </is>
      </c>
      <c r="C1028" s="6" t="inlineStr">
        <is>
          <t>会计年度结束日后发生的期后事项</t>
        </is>
      </c>
      <c r="D1028" s="6" t="inlineStr">
        <is>
          <t>會計年度結束日後發生的期後事項</t>
        </is>
      </c>
    </row>
    <row r="1029" customFormat="1" s="8">
      <c r="A1029" s="6" t="inlineStr">
        <is>
          <t>Nhượng bán</t>
        </is>
      </c>
      <c r="B1029" s="6" t="inlineStr">
        <is>
          <t>Transfer</t>
        </is>
      </c>
      <c r="C1029" s="6" t="inlineStr">
        <is>
          <t>出售轉讓</t>
        </is>
      </c>
      <c r="D1029" s="6" t="inlineStr">
        <is>
          <t>出售轉讓</t>
        </is>
      </c>
    </row>
    <row r="1030" customFormat="1" s="8">
      <c r="A1030" s="6" t="inlineStr">
        <is>
          <t>Nợ dài hạn</t>
        </is>
      </c>
      <c r="B1030" s="14" t="inlineStr">
        <is>
          <t>Long-term liabilities</t>
        </is>
      </c>
      <c r="C1030" s="6" t="inlineStr">
        <is>
          <t>长期负债</t>
        </is>
      </c>
      <c r="D1030" s="6" t="inlineStr">
        <is>
          <t>長期負債</t>
        </is>
      </c>
    </row>
    <row r="1031" ht="27.6" customFormat="1" customHeight="1" s="8">
      <c r="A1031" s="6" t="inlineStr">
        <is>
          <t>Nợ dài hạn đến hạn trả</t>
        </is>
      </c>
      <c r="B1031" s="6" t="inlineStr">
        <is>
          <t>Long-term amount due for settlement</t>
        </is>
      </c>
      <c r="C1031" s="6" t="inlineStr">
        <is>
          <t>到期的长期负债</t>
        </is>
      </c>
      <c r="D1031" s="6" t="inlineStr">
        <is>
          <t>到期之長期負債</t>
        </is>
      </c>
    </row>
    <row r="1032" customFormat="1" s="8">
      <c r="A1032" s="6" t="inlineStr">
        <is>
          <t>Nợ khó đòi đã xử lý</t>
        </is>
      </c>
      <c r="B1032" s="6" t="inlineStr">
        <is>
          <t>Bad debts written off</t>
        </is>
      </c>
      <c r="C1032" s="6" t="inlineStr">
        <is>
          <t>已冲销的坏帐</t>
        </is>
      </c>
      <c r="D1032" s="6" t="inlineStr">
        <is>
          <t>已沖銷之壞帳</t>
        </is>
      </c>
    </row>
    <row r="1033" customFormat="1" s="8">
      <c r="A1033" s="6" t="inlineStr">
        <is>
          <t>Nợ ngắn hạn</t>
        </is>
      </c>
      <c r="B1033" s="6" t="inlineStr">
        <is>
          <t>Short-term liabilities</t>
        </is>
      </c>
      <c r="C1033" s="6" t="inlineStr">
        <is>
          <t>短期负债</t>
        </is>
      </c>
      <c r="D1033" s="6" t="inlineStr">
        <is>
          <t>短期負債</t>
        </is>
      </c>
    </row>
    <row r="1034" ht="27.6" customFormat="1" customHeight="1" s="8">
      <c r="A1034" s="6" t="inlineStr">
        <is>
          <t>Nợ phải trả trong vòng 12 tháng</t>
        </is>
      </c>
      <c r="B1034" s="6" t="inlineStr">
        <is>
          <t xml:space="preserve">Amount due for settlement within 12 months </t>
        </is>
      </c>
      <c r="C1034" s="6" t="inlineStr">
        <is>
          <t>十二个月内到期的长期负债</t>
        </is>
      </c>
      <c r="D1034" s="6" t="inlineStr">
        <is>
          <t>十二個月內到期的長期負債</t>
        </is>
      </c>
    </row>
    <row r="1035" ht="27.6" customFormat="1" customHeight="1" s="8">
      <c r="A1035" s="6" t="inlineStr">
        <is>
          <t>Nợ phải trả trong vòng 12 tháng, trong đó:</t>
        </is>
      </c>
      <c r="B1035" s="6" t="inlineStr">
        <is>
          <t>Amount due for settlement within 12 months, including:</t>
        </is>
      </c>
      <c r="C1035" s="6" t="inlineStr">
        <is>
          <t>十二个月内到期的应付债款，其中：</t>
        </is>
      </c>
      <c r="D1035" s="6" t="inlineStr">
        <is>
          <t>十二個月內到期的應付債款，其中：</t>
        </is>
      </c>
    </row>
    <row r="1036" ht="27.6" customFormat="1" customHeight="1" s="8">
      <c r="A1036" s="6" t="inlineStr">
        <is>
          <t>Nợ quá hạn và dự phòng phải thu ngắn hạn khó đòi</t>
        </is>
      </c>
      <c r="B1036" s="14" t="inlineStr">
        <is>
          <t>Overdue debts and Provision for short-term doubtful debt</t>
        </is>
      </c>
      <c r="C1036" s="6" t="inlineStr">
        <is>
          <t>逾期债务和短期呆账准备</t>
        </is>
      </c>
      <c r="D1036" s="6" t="inlineStr">
        <is>
          <t>逾期債務和短期呆帳準備</t>
        </is>
      </c>
    </row>
    <row r="1037" customFormat="1" s="8">
      <c r="A1037" s="6" t="inlineStr">
        <is>
          <t>Ông</t>
        </is>
      </c>
      <c r="B1037" s="6" t="inlineStr">
        <is>
          <t>Mr.</t>
        </is>
      </c>
      <c r="C1037" s="6" t="inlineStr">
        <is>
          <t>先生đảo</t>
        </is>
      </c>
      <c r="D1037" s="6" t="inlineStr">
        <is>
          <t>先生đảo</t>
        </is>
      </c>
    </row>
    <row r="1038" ht="27.6" customFormat="1" customHeight="1" s="8">
      <c r="A1038" s="6" t="inlineStr">
        <is>
          <t>Phải thu dài hạn của khách hàng</t>
        </is>
      </c>
      <c r="B1038" s="14" t="inlineStr">
        <is>
          <t>Long-term trade accounts receivable</t>
        </is>
      </c>
      <c r="C1038" s="6" t="inlineStr">
        <is>
          <t>长期销货应收帐款</t>
        </is>
      </c>
      <c r="D1038" s="6" t="inlineStr">
        <is>
          <t>長期銷貨應收帳款</t>
        </is>
      </c>
    </row>
    <row r="1039" customFormat="1" s="8">
      <c r="A1039" s="6" t="inlineStr">
        <is>
          <t>Phải thu dài hạn khác</t>
        </is>
      </c>
      <c r="B1039" s="14" t="inlineStr">
        <is>
          <t>Other long-term receivables</t>
        </is>
      </c>
      <c r="C1039" s="6" t="inlineStr">
        <is>
          <t>其他长期应收款</t>
        </is>
      </c>
      <c r="D1039" s="6" t="inlineStr">
        <is>
          <t>其他長期應收款</t>
        </is>
      </c>
    </row>
    <row r="1040" customFormat="1" s="8">
      <c r="A1040" s="6" t="inlineStr">
        <is>
          <t>Phải thu khác</t>
        </is>
      </c>
      <c r="B1040" s="14" t="inlineStr">
        <is>
          <t>Other receivables</t>
        </is>
      </c>
      <c r="C1040" s="6" t="inlineStr">
        <is>
          <t>其他应收款</t>
        </is>
      </c>
      <c r="D1040" s="6" t="inlineStr">
        <is>
          <t>其他應收款</t>
        </is>
      </c>
    </row>
    <row r="1041" customFormat="1" s="8">
      <c r="A1041" s="6" t="inlineStr">
        <is>
          <t>Phải thu khách hàng</t>
        </is>
      </c>
      <c r="B1041" s="14" t="inlineStr">
        <is>
          <t>Trade accounts receivable</t>
        </is>
      </c>
      <c r="C1041" s="6" t="inlineStr">
        <is>
          <t>应收账款</t>
        </is>
      </c>
      <c r="D1041" s="6" t="inlineStr">
        <is>
          <t>應收賬款</t>
        </is>
      </c>
    </row>
    <row r="1042" customFormat="1" s="8">
      <c r="A1042" s="6" t="inlineStr">
        <is>
          <t>Phải thu khách hàng ngắn hạn</t>
        </is>
      </c>
      <c r="B1042" s="6" t="inlineStr">
        <is>
          <t>Short-term accounts receivable</t>
        </is>
      </c>
      <c r="C1042" s="6" t="inlineStr">
        <is>
          <t>短期销货应收账款</t>
        </is>
      </c>
      <c r="D1042" s="6" t="inlineStr">
        <is>
          <t>短期銷貨應收帳款</t>
        </is>
      </c>
    </row>
    <row r="1043" customFormat="1" s="8">
      <c r="A1043" s="6" t="inlineStr">
        <is>
          <t>Phải thu khách hàng dài hạn</t>
        </is>
      </c>
      <c r="B1043" s="6" t="inlineStr">
        <is>
          <t>Long-term accounts receivable</t>
        </is>
      </c>
      <c r="C1043" s="6" t="inlineStr">
        <is>
          <t>长期应收帐款</t>
        </is>
      </c>
      <c r="D1043" s="6" t="inlineStr">
        <is>
          <t>長期應收帳款</t>
        </is>
      </c>
    </row>
    <row r="1044" ht="27.6" customFormat="1" customHeight="1" s="8">
      <c r="A1044" s="6" t="inlineStr">
        <is>
          <t>Phải thu ngắn hạn của khách hàng</t>
        </is>
      </c>
      <c r="B1044" s="6" t="inlineStr">
        <is>
          <t>Short-term trade accounts receivable</t>
        </is>
      </c>
      <c r="C1044" s="6" t="inlineStr">
        <is>
          <t>短期销货应收款</t>
        </is>
      </c>
      <c r="D1044" s="6" t="inlineStr">
        <is>
          <t>短期銷貨應收款</t>
        </is>
      </c>
    </row>
    <row r="1045" customFormat="1" s="8">
      <c r="A1045" s="6" t="inlineStr">
        <is>
          <t>Phải thu ngắn hạn khác</t>
        </is>
      </c>
      <c r="B1045" s="6" t="inlineStr">
        <is>
          <t>Other short-term receivables</t>
        </is>
      </c>
      <c r="C1045" s="6" t="inlineStr">
        <is>
          <t>其他短期应收款</t>
        </is>
      </c>
      <c r="D1045" s="6" t="inlineStr">
        <is>
          <t>其他短期應收款</t>
        </is>
      </c>
    </row>
    <row r="1046" ht="27.6" customFormat="1" customHeight="1" s="8">
      <c r="A1046" s="6" t="inlineStr">
        <is>
          <t>Phải thu ngắn hạn và dài hạn của khách hàng</t>
        </is>
      </c>
      <c r="B1046" s="6" t="inlineStr">
        <is>
          <t>Short-term and long-term trade accounts receivable</t>
        </is>
      </c>
      <c r="C1046" s="6" t="inlineStr">
        <is>
          <t>短期及长期销货应收款</t>
        </is>
      </c>
      <c r="D1046" s="6" t="inlineStr">
        <is>
          <t>短期及長期銷貨應收款</t>
        </is>
      </c>
    </row>
    <row r="1047" ht="27.6" customFormat="1" customHeight="1" s="8">
      <c r="A1047" s="6" t="inlineStr">
        <is>
          <t>Phải thu ngắn hạn và dài hạn khác</t>
        </is>
      </c>
      <c r="B1047" s="6" t="inlineStr">
        <is>
          <t>Other short-term and long-term receivables</t>
        </is>
      </c>
      <c r="C1047" s="6" t="inlineStr">
        <is>
          <t>其他短期和长期应收款</t>
        </is>
      </c>
      <c r="D1047" s="6" t="inlineStr">
        <is>
          <t>其他短期及長期應收款</t>
        </is>
      </c>
    </row>
    <row r="1048" ht="27.6" customFormat="1" customHeight="1" s="8">
      <c r="A1048" s="6" t="inlineStr">
        <is>
          <t>Phải thu ngắn hạn, dài hạn khác</t>
        </is>
      </c>
      <c r="B1048" s="6" t="inlineStr">
        <is>
          <t>Other short-term and long-term receivables</t>
        </is>
      </c>
      <c r="C1048" s="6" t="inlineStr">
        <is>
          <t>其他短期、长期应收款</t>
        </is>
      </c>
      <c r="D1048" s="6" t="inlineStr">
        <is>
          <t>其他短期、長期應收款</t>
        </is>
      </c>
    </row>
    <row r="1049" customFormat="1" s="8">
      <c r="A1049" s="6" t="inlineStr">
        <is>
          <t>Phải thu nội bộ dài hạn</t>
        </is>
      </c>
      <c r="B1049" s="6" t="inlineStr">
        <is>
          <t>Long-term internal receivables</t>
        </is>
      </c>
      <c r="C1049" s="6" t="inlineStr">
        <is>
          <t>长期应收内部帐款</t>
        </is>
      </c>
      <c r="D1049" s="6" t="inlineStr">
        <is>
          <t>長期應收內部帳款</t>
        </is>
      </c>
    </row>
    <row r="1050" ht="27.6" customFormat="1" customHeight="1" s="8">
      <c r="A1050" s="6" t="inlineStr">
        <is>
          <t>Phải thu nội bộ ngắn hạn</t>
        </is>
      </c>
      <c r="B1050" s="6" t="inlineStr">
        <is>
          <t>Short-term inter-company receivables</t>
        </is>
      </c>
      <c r="C1050" s="6" t="inlineStr">
        <is>
          <t>短期应收内部帐款</t>
        </is>
      </c>
      <c r="D1050" s="6" t="inlineStr">
        <is>
          <t>短期應收內部帳款</t>
        </is>
      </c>
    </row>
    <row r="1051" ht="27.6" customFormat="1" customHeight="1" s="8">
      <c r="A1051" s="6" t="inlineStr">
        <is>
          <t>Phải thu theo tiến độ kế hoạch hợp đồng xây dựng</t>
        </is>
      </c>
      <c r="B1051" s="6" t="inlineStr">
        <is>
          <t>Construction contractor receivables</t>
        </is>
      </c>
      <c r="C1051" s="6" t="inlineStr">
        <is>
          <t>应收工程进度款</t>
        </is>
      </c>
      <c r="D1051" s="6" t="inlineStr">
        <is>
          <t>應收工程進度款</t>
        </is>
      </c>
    </row>
    <row r="1052" customFormat="1" s="8">
      <c r="A1052" s="6" t="inlineStr">
        <is>
          <t>Phải thu thuế nhà thầu</t>
        </is>
      </c>
      <c r="B1052" s="6" t="inlineStr">
        <is>
          <t>Foreign contractor tax</t>
        </is>
      </c>
      <c r="C1052" s="6" t="inlineStr">
        <is>
          <t>应收承包商税</t>
        </is>
      </c>
      <c r="D1052" s="6" t="inlineStr">
        <is>
          <t>應收承包商稅</t>
        </is>
      </c>
    </row>
    <row r="1053" customFormat="1" s="8">
      <c r="A1053" s="6" t="inlineStr">
        <is>
          <t>Phải thu về cho vay</t>
        </is>
      </c>
      <c r="B1053" s="6" t="inlineStr">
        <is>
          <t>Loans receivable</t>
        </is>
      </c>
      <c r="C1053" s="6" t="inlineStr">
        <is>
          <t>应收贷款</t>
        </is>
      </c>
      <c r="D1053" s="6" t="inlineStr">
        <is>
          <t>應收貸款</t>
        </is>
      </c>
    </row>
    <row r="1054" customFormat="1" s="8">
      <c r="A1054" s="6" t="inlineStr">
        <is>
          <t>Phải thu về cho vay dài hạn</t>
        </is>
      </c>
      <c r="B1054" s="6" t="inlineStr">
        <is>
          <t>Long-term loans receivable</t>
        </is>
      </c>
      <c r="C1054" s="6" t="inlineStr">
        <is>
          <t>长期应收贷款</t>
        </is>
      </c>
      <c r="D1054" s="6" t="inlineStr">
        <is>
          <t>長期應收貸款</t>
        </is>
      </c>
    </row>
    <row r="1055" customFormat="1" s="8">
      <c r="A1055" s="6" t="inlineStr">
        <is>
          <t>Phải thu về cho vay ngắn hạn</t>
        </is>
      </c>
      <c r="B1055" s="6" t="inlineStr">
        <is>
          <t>Short-term loans receivable</t>
        </is>
      </c>
      <c r="C1055" s="6" t="inlineStr">
        <is>
          <t>短期应收贷款</t>
        </is>
      </c>
      <c r="D1055" s="6" t="inlineStr">
        <is>
          <t>短期應收貸款</t>
        </is>
      </c>
    </row>
    <row r="1056" ht="27.6" customFormat="1" customHeight="1" s="8">
      <c r="A1056" s="6" t="inlineStr">
        <is>
          <t>Phải thu về cho vay ngắn hạn, dài hạn</t>
        </is>
      </c>
      <c r="B1056" s="6" t="inlineStr">
        <is>
          <t>Short term and long-term loans receivable</t>
        </is>
      </c>
      <c r="C1056" s="6" t="inlineStr">
        <is>
          <t>应收短期和长期贷款</t>
        </is>
      </c>
      <c r="D1056" s="6" t="inlineStr">
        <is>
          <t>應收短期和長期貸款</t>
        </is>
      </c>
    </row>
    <row r="1057" customFormat="1" s="8">
      <c r="A1057" s="6" t="inlineStr">
        <is>
          <t>Phải trả dài hạn khác</t>
        </is>
      </c>
      <c r="B1057" s="6" t="inlineStr">
        <is>
          <t>Other long-term payables</t>
        </is>
      </c>
      <c r="C1057" s="6" t="inlineStr">
        <is>
          <t>其他长期应付款</t>
        </is>
      </c>
      <c r="D1057" s="6" t="inlineStr">
        <is>
          <t>其他長期應付款</t>
        </is>
      </c>
    </row>
    <row r="1058" customFormat="1" s="8">
      <c r="A1058" s="6" t="inlineStr">
        <is>
          <t>Phải trả khác</t>
        </is>
      </c>
      <c r="B1058" s="6" t="inlineStr">
        <is>
          <t>Other payables</t>
        </is>
      </c>
      <c r="C1058" s="6" t="inlineStr">
        <is>
          <t>其他应付款</t>
        </is>
      </c>
      <c r="D1058" s="6" t="inlineStr">
        <is>
          <t>其他應付款</t>
        </is>
      </c>
    </row>
    <row r="1059" customFormat="1" s="8">
      <c r="A1059" s="6" t="inlineStr">
        <is>
          <t>Phải trả ngắn hạn khác</t>
        </is>
      </c>
      <c r="B1059" s="14" t="inlineStr">
        <is>
          <t>Other short-term payables</t>
        </is>
      </c>
      <c r="C1059" s="6" t="inlineStr">
        <is>
          <t>其他短期应付款</t>
        </is>
      </c>
      <c r="D1059" s="6" t="inlineStr">
        <is>
          <t>其他短期應付款</t>
        </is>
      </c>
    </row>
    <row r="1060" ht="27.6" customFormat="1" customHeight="1" s="8">
      <c r="A1060" s="6" t="inlineStr">
        <is>
          <t>Phải trả ngắn hạn, dài hạn khác</t>
        </is>
      </c>
      <c r="B1060" s="14" t="inlineStr">
        <is>
          <t>Other short-term and long-term payables</t>
        </is>
      </c>
      <c r="C1060" s="6" t="inlineStr">
        <is>
          <t>其他短期/长期应付款</t>
        </is>
      </c>
      <c r="D1060" s="6" t="inlineStr">
        <is>
          <t>其他短期/長期應付款</t>
        </is>
      </c>
    </row>
    <row r="1061" customFormat="1" s="8">
      <c r="A1061" s="6" t="inlineStr">
        <is>
          <t>Phải trả người bán</t>
        </is>
      </c>
      <c r="B1061" s="6" t="inlineStr">
        <is>
          <t>Trade accounts payable</t>
        </is>
      </c>
      <c r="C1061" s="6" t="inlineStr">
        <is>
          <t>应付帐款</t>
        </is>
      </c>
      <c r="D1061" s="6" t="inlineStr">
        <is>
          <t>應付帳款</t>
        </is>
      </c>
    </row>
    <row r="1062" ht="27.6" customFormat="1" customHeight="1" s="8">
      <c r="A1062" s="6" t="inlineStr">
        <is>
          <t>Phải trả người bán dài hạn</t>
        </is>
      </c>
      <c r="B1062" s="6" t="inlineStr">
        <is>
          <t>Long-term trade accounts payable</t>
        </is>
      </c>
      <c r="C1062" s="6" t="inlineStr">
        <is>
          <t>长期应付帐款</t>
        </is>
      </c>
      <c r="D1062" s="6" t="inlineStr">
        <is>
          <t>長期應付帳款</t>
        </is>
      </c>
    </row>
    <row r="1063" ht="27.6" customFormat="1" customHeight="1" s="8">
      <c r="A1063" s="6" t="inlineStr">
        <is>
          <t>Phải trả người bán ngắn hạn</t>
        </is>
      </c>
      <c r="B1063" s="6" t="inlineStr">
        <is>
          <t>Short-term trade accounts payable</t>
        </is>
      </c>
      <c r="C1063" s="6" t="inlineStr">
        <is>
          <t>短期应付帐款</t>
        </is>
      </c>
      <c r="D1063" s="6" t="inlineStr">
        <is>
          <t>短期應付帳款</t>
        </is>
      </c>
    </row>
    <row r="1064" ht="27.6" customFormat="1" customHeight="1" s="8">
      <c r="A1064" s="6" t="inlineStr">
        <is>
          <t>Phải trả người bán ngắn hạn và dài hạn</t>
        </is>
      </c>
      <c r="B1064" s="6" t="inlineStr">
        <is>
          <t>Short-term and long-term trade accounts payable</t>
        </is>
      </c>
      <c r="C1064" s="6" t="inlineStr">
        <is>
          <t>短期和长期应付帐款</t>
        </is>
      </c>
      <c r="D1064" s="6" t="inlineStr">
        <is>
          <t>短期和長期應付帳款</t>
        </is>
      </c>
    </row>
    <row r="1065" ht="27.6" customFormat="1" customHeight="1" s="8">
      <c r="A1065" s="6" t="inlineStr">
        <is>
          <t>Phải trả người bán ngắn hạn, dài hạn</t>
        </is>
      </c>
      <c r="B1065" s="6" t="inlineStr">
        <is>
          <t>Short-term and long-term trade accounts payable</t>
        </is>
      </c>
      <c r="C1065" s="6" t="inlineStr">
        <is>
          <t>短期/长期应付帐款</t>
        </is>
      </c>
      <c r="D1065" s="6" t="inlineStr">
        <is>
          <t>短期/長期應付帳款</t>
        </is>
      </c>
    </row>
    <row r="1066" ht="27.6" customFormat="1" customHeight="1" s="8">
      <c r="A1066" s="6" t="inlineStr">
        <is>
          <t>Phải trả người bán và phải trả khác</t>
        </is>
      </c>
      <c r="B1066" s="6" t="inlineStr">
        <is>
          <t>Trade accounts payable and other payables</t>
        </is>
      </c>
      <c r="C1066" s="6" t="inlineStr">
        <is>
          <t>应付帐款及其他应付款</t>
        </is>
      </c>
      <c r="D1066" s="6" t="inlineStr">
        <is>
          <t>應付帳款及其他應付款</t>
        </is>
      </c>
    </row>
    <row r="1067" customFormat="1" s="8">
      <c r="A1067" s="6" t="inlineStr">
        <is>
          <t>Phải trả người lao động</t>
        </is>
      </c>
      <c r="B1067" s="6" t="inlineStr">
        <is>
          <t>Payable to employees</t>
        </is>
      </c>
      <c r="C1067" s="6" t="inlineStr">
        <is>
          <t>应付职工薪酬</t>
        </is>
      </c>
      <c r="D1067" s="6" t="inlineStr">
        <is>
          <t>應付職工薪酬</t>
        </is>
      </c>
    </row>
    <row r="1068" ht="27.6" customFormat="1" customHeight="1" s="8">
      <c r="A1068" s="6" t="inlineStr">
        <is>
          <t>Phải trả nhân viên Công ty</t>
        </is>
      </c>
      <c r="B1068" s="6" t="inlineStr">
        <is>
          <t>Payables to the Company’s employees</t>
        </is>
      </c>
      <c r="C1068" s="6" t="inlineStr">
        <is>
          <t>应付公司员工款项</t>
        </is>
      </c>
      <c r="D1068" s="6" t="inlineStr">
        <is>
          <t>應付公司員工款項</t>
        </is>
      </c>
    </row>
    <row r="1069" ht="27.6" customFormat="1" customHeight="1" s="8">
      <c r="A1069" s="6" t="inlineStr">
        <is>
          <t>Phải trả nội bộ dài hạn</t>
        </is>
      </c>
      <c r="B1069" s="6" t="inlineStr">
        <is>
          <t>Long-term inter-company payables</t>
        </is>
      </c>
      <c r="C1069" s="6" t="inlineStr">
        <is>
          <t>应付内部长期帐款</t>
        </is>
      </c>
      <c r="D1069" s="6" t="inlineStr">
        <is>
          <t>應付內部長期帳款</t>
        </is>
      </c>
    </row>
    <row r="1070" customFormat="1" s="8">
      <c r="A1070" s="6" t="inlineStr">
        <is>
          <t>Phải trả nội bộ ngắn hạn</t>
        </is>
      </c>
      <c r="B1070" s="6" t="inlineStr">
        <is>
          <t>Short-term internal payables</t>
        </is>
      </c>
      <c r="C1070" s="6" t="inlineStr">
        <is>
          <t>短期内部应付帐款</t>
        </is>
      </c>
      <c r="D1070" s="6" t="inlineStr">
        <is>
          <t>短期內部應付帳款</t>
        </is>
      </c>
    </row>
    <row r="1071" ht="27.6" customFormat="1" customHeight="1" s="8">
      <c r="A1071" s="6" t="inlineStr">
        <is>
          <t>Phải trả nội bộ về vốn kinh doanh</t>
        </is>
      </c>
      <c r="B1071" s="6" t="inlineStr">
        <is>
          <t>Inter-company payables on working capital</t>
        </is>
      </c>
      <c r="C1071" s="6" t="inlineStr">
        <is>
          <t>应付内部的营运资金</t>
        </is>
      </c>
      <c r="D1071" s="6" t="inlineStr">
        <is>
          <t>應付內部之營運資金</t>
        </is>
      </c>
    </row>
    <row r="1072" ht="27.6" customFormat="1" customHeight="1" s="8">
      <c r="A1072" s="6" t="inlineStr">
        <is>
          <t>Phải trả theo tiến độ kế hoạch hợp đồng xây dựng</t>
        </is>
      </c>
      <c r="B1072" s="6" t="inlineStr">
        <is>
          <t>Payable to construction contractor</t>
        </is>
      </c>
      <c r="C1072" s="6" t="inlineStr">
        <is>
          <t>应付工程进度款</t>
        </is>
      </c>
      <c r="D1072" s="6" t="inlineStr">
        <is>
          <t>應付工程進度款</t>
        </is>
      </c>
    </row>
    <row r="1073" customFormat="1" s="8">
      <c r="A1073" s="6" t="inlineStr">
        <is>
          <t>Phân chia lợi nhuận</t>
        </is>
      </c>
      <c r="B1073" s="6" t="inlineStr">
        <is>
          <t>Payments of dividends</t>
        </is>
      </c>
      <c r="C1073" s="6" t="inlineStr">
        <is>
          <t>盈余分派</t>
        </is>
      </c>
      <c r="D1073" s="6" t="inlineStr">
        <is>
          <t>盈餘分派</t>
        </is>
      </c>
    </row>
    <row r="1074" ht="27.6" customFormat="1" customHeight="1" s="8">
      <c r="A1074" s="6" t="inlineStr">
        <is>
          <t>Phân chia lợi nhuận cho chủ đầu tư</t>
        </is>
      </c>
      <c r="B1074" s="6" t="inlineStr">
        <is>
          <t>Dividends paid to investors</t>
        </is>
      </c>
      <c r="C1074" s="6" t="inlineStr">
        <is>
          <t>利润分派予投资者</t>
        </is>
      </c>
      <c r="D1074" s="6" t="inlineStr">
        <is>
          <t>利潤分派予投資者</t>
        </is>
      </c>
    </row>
    <row r="1075" ht="27.6" customFormat="1" customHeight="1" s="8">
      <c r="A1075" s="6" t="inlineStr">
        <is>
          <t>Phân chia lợi nhuận cho chủ sở hữu</t>
        </is>
      </c>
      <c r="B1075" s="6" t="inlineStr">
        <is>
          <t>Dividends paid to owner</t>
        </is>
      </c>
      <c r="C1075" s="6" t="inlineStr">
        <is>
          <t>盈余分派予所有者</t>
        </is>
      </c>
      <c r="D1075" s="6" t="inlineStr">
        <is>
          <t>盈餘分派予所有者</t>
        </is>
      </c>
    </row>
    <row r="1076" customFormat="1" s="8">
      <c r="A1076" s="6" t="inlineStr">
        <is>
          <t>Phần mềm</t>
        </is>
      </c>
      <c r="B1076" s="6" t="inlineStr">
        <is>
          <t>Software</t>
        </is>
      </c>
      <c r="C1076" s="6" t="inlineStr">
        <is>
          <t>计算机软件</t>
        </is>
      </c>
      <c r="D1076" s="6" t="inlineStr">
        <is>
          <t>軟體</t>
        </is>
      </c>
    </row>
    <row r="1077" customFormat="1" s="8">
      <c r="A1077" s="6" t="inlineStr">
        <is>
          <t>Phần mềm kế toán</t>
        </is>
      </c>
      <c r="B1077" s="6" t="inlineStr">
        <is>
          <t>Accounting software</t>
        </is>
      </c>
      <c r="C1077" s="6" t="inlineStr">
        <is>
          <t>会计软件</t>
        </is>
      </c>
      <c r="D1077" s="6" t="inlineStr">
        <is>
          <t>會計軟件</t>
        </is>
      </c>
    </row>
    <row r="1078" customFormat="1" s="8">
      <c r="A1078" s="6" t="inlineStr">
        <is>
          <t>Phần mềm máy tính</t>
        </is>
      </c>
      <c r="B1078" s="6" t="inlineStr">
        <is>
          <t>Computer software</t>
        </is>
      </c>
      <c r="C1078" s="6" t="inlineStr">
        <is>
          <t>电脑软件</t>
        </is>
      </c>
      <c r="D1078" s="6" t="inlineStr">
        <is>
          <t>電腦軟體</t>
        </is>
      </c>
    </row>
    <row r="1079" customFormat="1" s="8">
      <c r="A1079" s="6" t="inlineStr">
        <is>
          <t>Phần mềm máy vi tính</t>
        </is>
      </c>
      <c r="B1079" s="6" t="inlineStr">
        <is>
          <t>Computer software</t>
        </is>
      </c>
      <c r="C1079" s="6" t="inlineStr">
        <is>
          <t>电脑软件</t>
        </is>
      </c>
      <c r="D1079" s="6" t="inlineStr">
        <is>
          <t>電腦軟體</t>
        </is>
      </c>
    </row>
    <row r="1080" customFormat="1" s="8">
      <c r="A1080" s="6" t="inlineStr">
        <is>
          <t>Phần mềm quản lý</t>
        </is>
      </c>
      <c r="B1080" s="6" t="inlineStr">
        <is>
          <t>Management software</t>
        </is>
      </c>
      <c r="C1080" s="6" t="inlineStr">
        <is>
          <t>管理软件</t>
        </is>
      </c>
      <c r="D1080" s="6" t="inlineStr">
        <is>
          <t>管理軟體</t>
        </is>
      </c>
    </row>
    <row r="1081" customFormat="1" s="8">
      <c r="A1081" s="6" t="inlineStr">
        <is>
          <t>Phân phối lợi nhuận</t>
        </is>
      </c>
      <c r="B1081" s="6" t="inlineStr">
        <is>
          <t>Payments of dividends</t>
        </is>
      </c>
      <c r="C1081" s="6" t="inlineStr">
        <is>
          <t>股息分派</t>
        </is>
      </c>
      <c r="D1081" s="6" t="inlineStr">
        <is>
          <t>股息分派</t>
        </is>
      </c>
    </row>
    <row r="1082" ht="41.4" customFormat="1" customHeight="1" s="8">
      <c r="A1082" s="6" t="inlineStr">
        <is>
          <t>Phạt hành chính, truy thu và chậm nộp thuế</t>
        </is>
      </c>
      <c r="B1082" s="6" t="inlineStr">
        <is>
          <t>Administrative penalties, tax arrears and late payment interest</t>
        </is>
      </c>
      <c r="C1082" s="6" t="inlineStr">
        <is>
          <t>行政罚款、补征税款和滞纳金</t>
        </is>
      </c>
      <c r="D1082" s="6" t="inlineStr">
        <is>
          <t>行政罰款、補征稅款和滯納金</t>
        </is>
      </c>
    </row>
    <row r="1083" customFormat="1" s="8">
      <c r="A1083" s="6" t="inlineStr">
        <is>
          <t>Phát sinh giảm</t>
        </is>
      </c>
      <c r="B1083" s="6" t="inlineStr">
        <is>
          <t>Decreases</t>
        </is>
      </c>
      <c r="C1083" s="6" t="inlineStr">
        <is>
          <t>年度内减少金额</t>
        </is>
      </c>
      <c r="D1083" s="6" t="inlineStr">
        <is>
          <t>年度內減少金額</t>
        </is>
      </c>
    </row>
    <row r="1084" customFormat="1" s="8">
      <c r="A1084" s="6" t="inlineStr">
        <is>
          <t>Phát sinh khác</t>
        </is>
      </c>
      <c r="B1084" s="6" t="inlineStr">
        <is>
          <t>Others</t>
        </is>
      </c>
      <c r="C1084" s="6" t="inlineStr">
        <is>
          <t>其他</t>
        </is>
      </c>
      <c r="D1084" s="6" t="inlineStr">
        <is>
          <t>其他</t>
        </is>
      </c>
    </row>
    <row r="1085" customFormat="1" s="8">
      <c r="A1085" s="6" t="inlineStr">
        <is>
          <t>Phát sinh tăng</t>
        </is>
      </c>
      <c r="B1085" s="6" t="inlineStr">
        <is>
          <t>Additions</t>
        </is>
      </c>
      <c r="C1085" s="6" t="inlineStr">
        <is>
          <t>年度内增加金额</t>
        </is>
      </c>
      <c r="D1085" s="6" t="inlineStr">
        <is>
          <t>年度內增加金額</t>
        </is>
      </c>
    </row>
    <row r="1086" ht="27.6" customFormat="1" customHeight="1" s="8">
      <c r="A1086" s="6" t="inlineStr">
        <is>
          <t>Phạt vi phạm an toàn lao động</t>
        </is>
      </c>
      <c r="B1086" s="6" t="inlineStr">
        <is>
          <t>Fines for violations of labor safety</t>
        </is>
      </c>
      <c r="C1086" s="6" t="inlineStr">
        <is>
          <t>劳工安全违反罚款</t>
        </is>
      </c>
      <c r="D1086" s="6" t="inlineStr">
        <is>
          <t>勞工安全違反罰款</t>
        </is>
      </c>
    </row>
    <row r="1087" ht="27.6" customFormat="1" customHeight="1" s="8">
      <c r="A1087" s="6" t="inlineStr">
        <is>
          <t>Phạt vi phạm hành chính</t>
        </is>
      </c>
      <c r="B1087" s="6" t="inlineStr">
        <is>
          <t>Fines for administrative violations</t>
        </is>
      </c>
      <c r="C1087" s="6" t="inlineStr">
        <is>
          <t>行政违反罚款</t>
        </is>
      </c>
      <c r="D1087" s="6" t="inlineStr">
        <is>
          <t>行政違反罰款</t>
        </is>
      </c>
    </row>
    <row r="1088" ht="27.6" customFormat="1" customHeight="1" s="8">
      <c r="A1088" s="6" t="inlineStr">
        <is>
          <t>Phạt vi phạm hành chính, chậm nộp thuế</t>
        </is>
      </c>
      <c r="B1088" s="6" t="inlineStr">
        <is>
          <t>Administrative penalties, late payment interest</t>
        </is>
      </c>
      <c r="C1088" s="6" t="inlineStr">
        <is>
          <t>行政违反罚款、滞纳罚款</t>
        </is>
      </c>
      <c r="D1088" s="6" t="inlineStr">
        <is>
          <t>行政違反罰款、滯納罰款</t>
        </is>
      </c>
    </row>
    <row r="1089" customFormat="1" s="8">
      <c r="A1089" s="6" t="inlineStr">
        <is>
          <t>Phí bảo hành</t>
        </is>
      </c>
      <c r="B1089" s="6" t="inlineStr">
        <is>
          <t>Warranty fee</t>
        </is>
      </c>
      <c r="C1089" s="6" t="inlineStr">
        <is>
          <t>保固费</t>
        </is>
      </c>
      <c r="D1089" s="6" t="inlineStr">
        <is>
          <t>保固費</t>
        </is>
      </c>
    </row>
    <row r="1090" customFormat="1" s="8">
      <c r="A1090" s="6" t="inlineStr">
        <is>
          <t>Phí bảo hiểm</t>
        </is>
      </c>
      <c r="B1090" s="6" t="inlineStr">
        <is>
          <t>Insurance premiums</t>
        </is>
      </c>
      <c r="C1090" s="6" t="inlineStr">
        <is>
          <t>保险金</t>
        </is>
      </c>
      <c r="D1090" s="6" t="inlineStr">
        <is>
          <t>保險金</t>
        </is>
      </c>
    </row>
    <row r="1091" customFormat="1" s="8">
      <c r="A1091" s="6" t="inlineStr">
        <is>
          <t>Phí dịch vụ tư vấn bán hàng</t>
        </is>
      </c>
      <c r="B1091" s="6" t="inlineStr">
        <is>
          <t>Sales consulting fees</t>
        </is>
      </c>
      <c r="C1091" s="6" t="inlineStr">
        <is>
          <t>营销咨询费</t>
        </is>
      </c>
      <c r="D1091" s="6" t="inlineStr">
        <is>
          <t>營銷諮詢費</t>
        </is>
      </c>
    </row>
    <row r="1092" customFormat="1" s="8">
      <c r="A1092" s="6" t="inlineStr">
        <is>
          <t>Phí ngân hàng</t>
        </is>
      </c>
      <c r="B1092" s="6" t="inlineStr">
        <is>
          <t>Bank charges</t>
        </is>
      </c>
      <c r="C1092" s="6" t="inlineStr">
        <is>
          <t>银行手续费</t>
        </is>
      </c>
      <c r="D1092" s="6" t="inlineStr">
        <is>
          <t>銀行手續費</t>
        </is>
      </c>
    </row>
    <row r="1093" customFormat="1" s="8">
      <c r="A1093" s="6" t="inlineStr">
        <is>
          <t>Phí quản lý</t>
        </is>
      </c>
      <c r="B1093" s="6" t="inlineStr">
        <is>
          <t>Management fees</t>
        </is>
      </c>
      <c r="C1093" s="6" t="inlineStr">
        <is>
          <t>管理费用</t>
        </is>
      </c>
      <c r="D1093" s="6" t="inlineStr">
        <is>
          <t>管理費用</t>
        </is>
      </c>
    </row>
    <row r="1094" customFormat="1" s="8">
      <c r="A1094" s="6" t="inlineStr">
        <is>
          <t>Phí sử dụng hạ tầng</t>
        </is>
      </c>
      <c r="B1094" s="6" t="inlineStr">
        <is>
          <t>Infrastructure fee</t>
        </is>
      </c>
      <c r="C1094" s="6" t="inlineStr">
        <is>
          <t>基层设施使用费</t>
        </is>
      </c>
      <c r="D1094" s="6" t="inlineStr">
        <is>
          <t>基層設施使用費</t>
        </is>
      </c>
    </row>
    <row r="1095" customFormat="1" s="8">
      <c r="A1095" s="6" t="inlineStr">
        <is>
          <t>Phí vận chuyển</t>
        </is>
      </c>
      <c r="B1095" s="6" t="inlineStr">
        <is>
          <t>Transport fees</t>
        </is>
      </c>
      <c r="C1095" s="6" t="inlineStr">
        <is>
          <t>运输费用</t>
        </is>
      </c>
      <c r="D1095" s="6" t="inlineStr">
        <is>
          <t>運輸費用</t>
        </is>
      </c>
    </row>
    <row r="1096" ht="27.6" customFormat="1" customHeight="1" s="8">
      <c r="A1096" s="6" t="inlineStr">
        <is>
          <t>Phí, lệ phí và các khoản khác</t>
        </is>
      </c>
      <c r="B1096" s="6" t="inlineStr">
        <is>
          <t>Other fees, charges and payables</t>
        </is>
      </c>
      <c r="C1096" s="6" t="inlineStr">
        <is>
          <t>收费、规费和其他款项</t>
        </is>
      </c>
      <c r="D1096" s="6" t="inlineStr">
        <is>
          <t>收費、規費及其他款項</t>
        </is>
      </c>
    </row>
    <row r="1097" customFormat="1" s="8">
      <c r="A1097" s="6" t="inlineStr">
        <is>
          <t>Phó Chủ tịch</t>
        </is>
      </c>
      <c r="B1097" s="6" t="inlineStr">
        <is>
          <t>Deputy Chairman</t>
        </is>
      </c>
      <c r="C1097" s="6" t="inlineStr">
        <is>
          <t>副董事长</t>
        </is>
      </c>
      <c r="D1097" s="6" t="inlineStr">
        <is>
          <t>副董事長</t>
        </is>
      </c>
    </row>
    <row r="1098" customFormat="1" s="8">
      <c r="A1098" s="6" t="inlineStr">
        <is>
          <t>Phó Giám đốc</t>
        </is>
      </c>
      <c r="B1098" s="6" t="inlineStr">
        <is>
          <t>Deputy Director</t>
        </is>
      </c>
      <c r="C1098" s="6" t="inlineStr">
        <is>
          <t>副经理</t>
        </is>
      </c>
      <c r="D1098" s="6" t="inlineStr">
        <is>
          <t>副經理</t>
        </is>
      </c>
    </row>
    <row r="1099" customFormat="1" s="8">
      <c r="A1099" s="6" t="inlineStr">
        <is>
          <t>Phó Giám đốc điều hành</t>
        </is>
      </c>
      <c r="B1099" s="6" t="inlineStr">
        <is>
          <t>Deputy Managing Director</t>
        </is>
      </c>
      <c r="C1099" s="6" t="inlineStr">
        <is>
          <t>董事副总经理</t>
        </is>
      </c>
      <c r="D1099" s="6" t="inlineStr">
        <is>
          <t>董事副總經理</t>
        </is>
      </c>
    </row>
    <row r="1100" customFormat="1" s="8">
      <c r="A1100" s="6" t="inlineStr">
        <is>
          <t>Phó Tổng Giám đốc</t>
        </is>
      </c>
      <c r="B1100" s="6" t="inlineStr">
        <is>
          <t>Deputy General Director</t>
        </is>
      </c>
      <c r="C1100" s="6" t="inlineStr">
        <is>
          <t>副总经理</t>
        </is>
      </c>
      <c r="D1100" s="6" t="inlineStr">
        <is>
          <t>副總經理</t>
        </is>
      </c>
    </row>
    <row r="1101" customFormat="1" s="8">
      <c r="A1101" s="6" t="inlineStr">
        <is>
          <t>Phụ trách kế toán</t>
        </is>
      </c>
      <c r="B1101" s="6" t="inlineStr">
        <is>
          <t>Accountant in charge</t>
        </is>
      </c>
      <c r="C1101" s="6" t="inlineStr">
        <is>
          <t>会计负责人</t>
        </is>
      </c>
      <c r="D1101" s="6" t="inlineStr">
        <is>
          <t>會計負責人</t>
        </is>
      </c>
    </row>
    <row r="1102" ht="27.6" customFormat="1" customHeight="1" s="8">
      <c r="A1102" s="6" t="inlineStr">
        <is>
          <t>Phương tiện vận tải, truyền dẫn</t>
        </is>
      </c>
      <c r="B1102" s="6" t="inlineStr">
        <is>
          <t>Means of transport and transmission</t>
        </is>
      </c>
      <c r="C1102" s="6" t="inlineStr">
        <is>
          <t>运输、传输设备</t>
        </is>
      </c>
      <c r="D1102" s="6" t="inlineStr">
        <is>
          <t>運輸、傳輸設備</t>
        </is>
      </c>
    </row>
    <row r="1103" customFormat="1" s="8">
      <c r="A1103" s="6" t="inlineStr">
        <is>
          <t>Quản lý rủi ro tài chính</t>
        </is>
      </c>
      <c r="B1103" s="6" t="inlineStr">
        <is>
          <t>Financial risk management</t>
        </is>
      </c>
      <c r="C1103" s="6" t="inlineStr">
        <is>
          <t>金融风险管理</t>
        </is>
      </c>
      <c r="D1103" s="6" t="inlineStr">
        <is>
          <t>金融風險管理</t>
        </is>
      </c>
    </row>
    <row r="1104" customFormat="1" s="8">
      <c r="A1104" s="6" t="inlineStr">
        <is>
          <t>Quốc tịch Canada</t>
        </is>
      </c>
      <c r="B1104" s="6" t="inlineStr">
        <is>
          <t>Canadian</t>
        </is>
      </c>
      <c r="C1104" s="6" t="inlineStr">
        <is>
          <t>加拿大国籍</t>
        </is>
      </c>
      <c r="D1104" s="6" t="inlineStr">
        <is>
          <t>加拿大國籍</t>
        </is>
      </c>
    </row>
    <row r="1105" customFormat="1" s="8">
      <c r="A1105" s="6" t="inlineStr">
        <is>
          <t>Quốc tịch Đài Loan</t>
        </is>
      </c>
      <c r="B1105" s="6" t="inlineStr">
        <is>
          <t>Taiwanese</t>
        </is>
      </c>
      <c r="C1105" s="6" t="inlineStr">
        <is>
          <t>台湾国籍</t>
        </is>
      </c>
      <c r="D1105" s="6" t="inlineStr">
        <is>
          <t>台灣國籍</t>
        </is>
      </c>
    </row>
    <row r="1106" customFormat="1" s="8">
      <c r="A1106" s="6" t="inlineStr">
        <is>
          <t>Quốc tịch Hàn Quốc</t>
        </is>
      </c>
      <c r="B1106" s="6" t="inlineStr">
        <is>
          <t>Korean</t>
        </is>
      </c>
      <c r="C1106" s="6" t="inlineStr">
        <is>
          <t>韩国国籍</t>
        </is>
      </c>
      <c r="D1106" s="6" t="inlineStr">
        <is>
          <t>韓國國籍</t>
        </is>
      </c>
    </row>
    <row r="1107" customFormat="1" s="8">
      <c r="A1107" s="6" t="inlineStr">
        <is>
          <t>Quốc tịch Mỹ</t>
        </is>
      </c>
      <c r="B1107" s="6" t="inlineStr">
        <is>
          <t>American</t>
        </is>
      </c>
      <c r="C1107" s="6" t="inlineStr">
        <is>
          <t>美国国籍</t>
        </is>
      </c>
      <c r="D1107" s="6" t="inlineStr">
        <is>
          <t>美國國籍</t>
        </is>
      </c>
    </row>
    <row r="1108" customFormat="1" s="8">
      <c r="A1108" s="6" t="inlineStr">
        <is>
          <t>Quốc tịch Nhật Bản</t>
        </is>
      </c>
      <c r="B1108" s="6" t="inlineStr">
        <is>
          <t>Japanese</t>
        </is>
      </c>
      <c r="C1108" s="6" t="inlineStr">
        <is>
          <t>日本国籍</t>
        </is>
      </c>
      <c r="D1108" s="6" t="inlineStr">
        <is>
          <t>日本國籍</t>
        </is>
      </c>
    </row>
    <row r="1109" customFormat="1" s="8">
      <c r="A1109" s="6" t="inlineStr">
        <is>
          <t>Quốc tịch Trung Quốc</t>
        </is>
      </c>
      <c r="B1109" s="6" t="inlineStr">
        <is>
          <t>Chinese</t>
        </is>
      </c>
      <c r="C1109" s="6" t="inlineStr">
        <is>
          <t>中国国籍</t>
        </is>
      </c>
      <c r="D1109" s="6" t="inlineStr">
        <is>
          <t>中國國籍</t>
        </is>
      </c>
    </row>
    <row r="1110" ht="27.6" customFormat="1" customHeight="1" s="8">
      <c r="A1110" s="6" t="inlineStr">
        <is>
          <t>Quốc tịch Trung Quốc (Đài Loan)</t>
        </is>
      </c>
      <c r="B1110" s="6" t="inlineStr">
        <is>
          <t>Chinese (Taiwanese)</t>
        </is>
      </c>
      <c r="C1110" s="6" t="inlineStr">
        <is>
          <t>中华民国国籍</t>
        </is>
      </c>
      <c r="D1110" s="6" t="inlineStr">
        <is>
          <t>中華民國國籍</t>
        </is>
      </c>
    </row>
    <row r="1111" customFormat="1" s="8">
      <c r="A1111" s="6" t="inlineStr">
        <is>
          <t>Quốc tịch Việt Nam</t>
        </is>
      </c>
      <c r="B1111" s="6" t="inlineStr">
        <is>
          <t>Vietnamese</t>
        </is>
      </c>
      <c r="C1111" s="6" t="inlineStr">
        <is>
          <t>越南国籍</t>
        </is>
      </c>
      <c r="D1111" s="6" t="inlineStr">
        <is>
          <t>越南國籍</t>
        </is>
      </c>
    </row>
    <row r="1112" customFormat="1" s="8">
      <c r="A1112" s="6" t="inlineStr">
        <is>
          <t>Quỹ bình ổn giá</t>
        </is>
      </c>
      <c r="B1112" s="6" t="inlineStr">
        <is>
          <t>Price stabilization fund</t>
        </is>
      </c>
      <c r="C1112" s="6" t="inlineStr">
        <is>
          <t>价格平准基金</t>
        </is>
      </c>
      <c r="D1112" s="6" t="inlineStr">
        <is>
          <t>價格平準基金</t>
        </is>
      </c>
    </row>
    <row r="1113" ht="27.6" customFormat="1" customHeight="1" s="8">
      <c r="A1113" s="6" t="inlineStr">
        <is>
          <t>Quỹ đầu tư phát triển</t>
        </is>
      </c>
      <c r="B1113" s="6" t="inlineStr">
        <is>
          <t>Investment and development fund</t>
        </is>
      </c>
      <c r="C1113" s="6" t="inlineStr">
        <is>
          <t>发展投资基金</t>
        </is>
      </c>
      <c r="D1113" s="6" t="inlineStr">
        <is>
          <t>發展投資基金</t>
        </is>
      </c>
    </row>
    <row r="1114" ht="27.6" customFormat="1" customHeight="1" s="8">
      <c r="A1114" s="6" t="inlineStr">
        <is>
          <t>Quỹ đầu tư và phát triển</t>
        </is>
      </c>
      <c r="B1114" s="6" t="inlineStr">
        <is>
          <t>Investment and development fund</t>
        </is>
      </c>
      <c r="C1114" s="6" t="inlineStr">
        <is>
          <t>企业投资发展基金</t>
        </is>
      </c>
      <c r="D1114" s="6" t="inlineStr">
        <is>
          <t>企業投資發展基金</t>
        </is>
      </c>
    </row>
    <row r="1115" ht="27.6" customFormat="1" customHeight="1" s="8">
      <c r="A1115" s="6" t="inlineStr">
        <is>
          <t>Quỹ hỗ trợ sắp xếp doanh nghiệp</t>
        </is>
      </c>
      <c r="B1115" s="6" t="inlineStr">
        <is>
          <t>Enterprise reorganization assistance fund</t>
        </is>
      </c>
      <c r="C1115" s="6" t="inlineStr">
        <is>
          <t>企业重整基金</t>
        </is>
      </c>
      <c r="D1115" s="6" t="inlineStr">
        <is>
          <t xml:space="preserve">	企業重整基金</t>
        </is>
      </c>
    </row>
    <row r="1116" ht="27.6" customFormat="1" customHeight="1" s="8">
      <c r="A1116" s="6" t="inlineStr">
        <is>
          <t>Quỹ khác thuộc vốn chủ sở hữu</t>
        </is>
      </c>
      <c r="B1116" s="6" t="inlineStr">
        <is>
          <t>Other funds under owner’s equity</t>
        </is>
      </c>
      <c r="C1116" s="6" t="inlineStr">
        <is>
          <t>由所有者（股东）权益提拨的其他基金</t>
        </is>
      </c>
      <c r="D1116" s="6" t="inlineStr">
        <is>
          <t>由所有者（股東）權益提撥之其他基金</t>
        </is>
      </c>
    </row>
    <row r="1117" customFormat="1" s="8">
      <c r="A1117" s="6" t="inlineStr">
        <is>
          <t>Quỹ khen thưởng, phúc lợi</t>
        </is>
      </c>
      <c r="B1117" s="6" t="inlineStr">
        <is>
          <t>Bonus and welfare fund</t>
        </is>
      </c>
      <c r="C1117" s="6" t="inlineStr">
        <is>
          <t>奖励、福利基金</t>
        </is>
      </c>
      <c r="D1117" s="6" t="inlineStr">
        <is>
          <t>獎勵、福利基金</t>
        </is>
      </c>
    </row>
    <row r="1118" ht="27.6" customFormat="1" customHeight="1" s="8">
      <c r="A1118" s="6" t="inlineStr">
        <is>
          <t>Quỹ phát triển khoa học và công nghệ</t>
        </is>
      </c>
      <c r="B1118" s="6" t="inlineStr">
        <is>
          <t>Science and technology development fund</t>
        </is>
      </c>
      <c r="C1118" s="6" t="inlineStr">
        <is>
          <t>科学技术发展基金</t>
        </is>
      </c>
      <c r="D1118" s="6" t="inlineStr">
        <is>
          <t>科學技術發展基金</t>
        </is>
      </c>
    </row>
    <row r="1119" ht="27.6" customFormat="1" customHeight="1" s="8">
      <c r="A1119" s="6" t="inlineStr">
        <is>
          <t>Quyền chọn chuyển đổi trái phiếu</t>
        </is>
      </c>
      <c r="B1119" s="6" t="inlineStr">
        <is>
          <t>Conversion options on bond</t>
        </is>
      </c>
      <c r="C1119" s="6" t="inlineStr">
        <is>
          <t>债券可转换选择权</t>
        </is>
      </c>
      <c r="D1119" s="6" t="inlineStr">
        <is>
          <t>債券可轉換選擇權</t>
        </is>
      </c>
    </row>
    <row r="1120" customFormat="1" s="8">
      <c r="A1120" s="6" t="inlineStr">
        <is>
          <t>Quyền sử dụng đất</t>
        </is>
      </c>
      <c r="B1120" s="6" t="inlineStr">
        <is>
          <t>Land use rights</t>
        </is>
      </c>
      <c r="C1120" s="6" t="inlineStr">
        <is>
          <t>土地使用权</t>
        </is>
      </c>
      <c r="D1120" s="6" t="inlineStr">
        <is>
          <t>土地使用權</t>
        </is>
      </c>
    </row>
    <row r="1121" customFormat="1" s="8">
      <c r="A1121" s="6" t="inlineStr">
        <is>
          <t>Quyền sử dụng đất thuê</t>
        </is>
      </c>
      <c r="B1121" s="6" t="inlineStr">
        <is>
          <t>Leased land use right</t>
        </is>
      </c>
      <c r="C1121" s="6" t="inlineStr">
        <is>
          <t>土地租赁使用权</t>
        </is>
      </c>
      <c r="D1121" s="6" t="inlineStr">
        <is>
          <t>土地租賃使用權</t>
        </is>
      </c>
    </row>
    <row r="1122" customFormat="1" s="8">
      <c r="A1122" s="6" t="inlineStr">
        <is>
          <t>Rủi ro lãi suất</t>
        </is>
      </c>
      <c r="B1122" s="6" t="inlineStr">
        <is>
          <t>Interest rate risk</t>
        </is>
      </c>
      <c r="C1122" s="6" t="inlineStr">
        <is>
          <t>利率风险</t>
        </is>
      </c>
      <c r="D1122" s="6" t="inlineStr">
        <is>
          <t>利率風險</t>
        </is>
      </c>
    </row>
    <row r="1123" customFormat="1" s="8">
      <c r="A1123" s="6" t="inlineStr">
        <is>
          <t>Rủi ro thanh khoản</t>
        </is>
      </c>
      <c r="B1123" s="6" t="inlineStr">
        <is>
          <t>Liquidity risks</t>
        </is>
      </c>
      <c r="C1123" s="6" t="inlineStr">
        <is>
          <t>流动性风险</t>
        </is>
      </c>
      <c r="D1123" s="6" t="inlineStr">
        <is>
          <t>流動性風險</t>
        </is>
      </c>
    </row>
    <row r="1124" ht="207" customFormat="1" customHeight="1" s="8">
      <c r="A1124" s="6" t="inlineStr">
        <is>
          <t>Rủi ro thanh khoản là rủi ro mà Công ty không thể thanh toán cho các nghĩa vụ tài chính khi đến hạn. Phương thức quản lý thanh khoản của Công ty là nhằm đảm bảo thanh toán các khoản nợ khi đến hạn mà không làm ảnh hưởng đến hoạt động bình thường của Công ty. Rủi ro thanh khoản của Công ty chủ yếu phát sinh từ việc chênh lệch về thời hạn đáo hạn giữa tài sản tài chính và nợ phải trả tài chính.</t>
        </is>
      </c>
      <c r="B1124" s="6" t="inlineStr">
        <is>
          <t>Liquidity risks are incurred when the Company cannot pay for its financial obligations when they are due. The Company's liquidity management measures are to ensure the payment of all debts when becoming due without affecting the normal operations of the Company. The Company's liquidity risks mainly arise from the difference in maturity between financial assets and financial liabilities.</t>
        </is>
      </c>
      <c r="C1124" s="6" t="inlineStr">
        <is>
          <t>流动性风险是指公司无法履行其到期金融债务的风险。公司流动性管理机制以确保其有能力偿还到期债款而不影响公司正常营运为基础。公司的流动性风险主要由于金融资产与金融负债的到期期限不一致而产生。</t>
        </is>
      </c>
      <c r="D1124" s="6" t="inlineStr">
        <is>
          <t>流動性風險乃公司無法履行其到期金融債務之風險。公司流動性管理機制以確保其有能力償還到期債款而不影響公司正常營運為基礎。公司的流動性風險主要由於金融資產與金融負債之到期期限不一致而產生。</t>
        </is>
      </c>
    </row>
    <row r="1125" customFormat="1" s="8">
      <c r="A1125" s="6" t="inlineStr">
        <is>
          <t>Rủi ro thị trường</t>
        </is>
      </c>
      <c r="B1125" s="6" t="inlineStr">
        <is>
          <t>Market risks</t>
        </is>
      </c>
      <c r="C1125" s="6" t="inlineStr">
        <is>
          <t>市场风险</t>
        </is>
      </c>
      <c r="D1125" s="6" t="inlineStr">
        <is>
          <t>市場風險</t>
        </is>
      </c>
    </row>
    <row r="1126" ht="124.2" customFormat="1" customHeight="1" s="8">
      <c r="A1126" s="6" t="inlineStr">
        <is>
          <t>Rủi ro thị trường là những biến động về giá trị thị trường sẽ ảnh hưởng đến kết quả kinh doanh của Công ty và giá trị của các công cụ tài chính mà Công ty nắm giữ. Rủi ro thị trường bao gồm rủi ro tỷ giá hối đoái, rủi ro lãi suất và rủi ro về giá.</t>
        </is>
      </c>
      <c r="B1126" s="6" t="inlineStr">
        <is>
          <t>Market risks are fluctuations caused to market price which affects the business of the Company and the value of financial instruments held by the Company. The market risks comprise foreign exchange risk, interest rate risk and price risk.</t>
        </is>
      </c>
      <c r="C1126" s="6" t="inlineStr">
        <is>
          <t>市场风险是指市场价格变动的不确定性对公司营业绩效或公司所持有金融工具价值的潜在不利影响。市场风险包括利率风险、汇率风险及价格风险。</t>
        </is>
      </c>
      <c r="D1126" s="6" t="inlineStr">
        <is>
          <t>市場風險乃市場價格變動之不確定性對公司營業績效或公司所持有金融工具價值之潛在不利影響。市場風險包括利率風險、匯率風險及價格風險。</t>
        </is>
      </c>
    </row>
    <row r="1127" customFormat="1" s="8">
      <c r="A1127" s="6" t="inlineStr">
        <is>
          <t>Rủi ro tín dụng</t>
        </is>
      </c>
      <c r="B1127" s="6" t="inlineStr">
        <is>
          <t>Credit risks</t>
        </is>
      </c>
      <c r="C1127" s="6" t="inlineStr">
        <is>
          <t>信用风险</t>
        </is>
      </c>
      <c r="D1127" s="6" t="inlineStr">
        <is>
          <t>信用風險</t>
        </is>
      </c>
    </row>
    <row r="1128" customFormat="1" s="8">
      <c r="A1128" s="6" t="inlineStr">
        <is>
          <t>Rủi ro tỷ giá hối đoái</t>
        </is>
      </c>
      <c r="B1128" s="6" t="inlineStr">
        <is>
          <t>Foreign exchange risk</t>
        </is>
      </c>
      <c r="C1128" s="6" t="inlineStr">
        <is>
          <t>汇率风险</t>
        </is>
      </c>
      <c r="D1128" s="6" t="inlineStr">
        <is>
          <t>匯率風險</t>
        </is>
      </c>
    </row>
    <row r="1129" ht="207" customFormat="1" customHeight="1" s="8">
      <c r="A1129" s="6" t="inlineStr">
        <is>
          <t>Rủi ro tỷ giá hối đoái là rủi ro mà giá trị hợp lý của các luồng tiền trong tương lai của một công cụ tài chính sẽ biến động theo sự thay đổi của tỷ giá hối đoái. Rủi ro tỷ giá hối đoái của Công ty chủ yếu liên quan đến [tiền, các khoản phải thu, phải trả và các khoản vay… của Công ty]. Công ty không thực hiện các biện pháp phòng ngừa rủi ro này do thiếu thị trường mua các công cụ tài chính này.</t>
        </is>
      </c>
      <c r="B1129" s="6" t="inlineStr">
        <is>
          <t>Foreign exchange risk is the risk that fair value of expected cash flows of a financial instrument will fluctuate because of changes in foreign exchange rate. The Company’s foreign exchange risk is mainly in relation to monetary amounts or receivables and payables or borrowings or etc. of the Company. The Company does not apply any hedging measures due to lack of market for acquiring these financial instruments.</t>
        </is>
      </c>
      <c r="C1129" s="6" t="inlineStr">
        <is>
          <t>汇率风险是指外币汇率波动的不确定性对某项金融工具未来现金流量的公允价值的潜在不利影响。公司的汇率风险主要涉及其【现金、应付款项、应收款项、各项借款……】。由于缺乏该金融工具的交易市场，所以公司对此不采取避险措施。</t>
        </is>
      </c>
      <c r="D1129" s="6" t="inlineStr">
        <is>
          <t>匯率風險乃外幣匯率波動之不確定性對某項金融工具未來現金流量之公允價值之潛在不利影響。公司的匯率風險主要涉及其【現金、應付款項、應收款項、各項借款……】。由於缺乏該金融工具之交易市場，所以公司對此不採取避險措施。</t>
        </is>
      </c>
    </row>
    <row r="1130" customFormat="1" s="8">
      <c r="A1130" s="6" t="inlineStr">
        <is>
          <t>Rủi ro về giá</t>
        </is>
      </c>
      <c r="B1130" s="6" t="inlineStr">
        <is>
          <t>Price risk</t>
        </is>
      </c>
      <c r="C1130" s="6" t="inlineStr">
        <is>
          <t>价格风险</t>
        </is>
      </c>
      <c r="D1130" s="6" t="inlineStr">
        <is>
          <t>價格風險</t>
        </is>
      </c>
    </row>
    <row r="1131" ht="248.4" customFormat="1" customHeight="1" s="8">
      <c r="A1131" s="6" t="inlineStr">
        <is>
          <t>Rủi ro về giá là rủi ro mà giá trị hợp lý của các luồng tiền trong tương lai của một công cụ tài chính sẽ biến động theo sự thay đổi của giá cả hàng hóa trên thị trường. Công ty mua nguyên vật liệu, hàng hóa từ các nhà cung cấp trong và ngoài nước để phục vụ cho hoạt động sản xuất kinh doanh. Do vậy, Công ty sẽ chịu rủi ro từ việc thay đổi giá bán của nguyên vật liệu, hàng hóa. Công ty không thực hiện các biện pháp phòng ngừa rủi ro này do thiếu thị trường mua các công cụ tài chính này.</t>
        </is>
      </c>
      <c r="B1131" s="6" t="inlineStr">
        <is>
          <t>Price risk is the risk that fair value of expected cash flows of a financial instrument will fluctuate because of changes in market price of goods. The Company purchases raw materials and goods from domestic and foreign suppliers for the production and business operations of the Company. Therefore, the Company is exposed to the risk of changes in selling prices of materials, goods. The Company does not apply any hedging measures due to lack of market for acquiring these financial instruments.</t>
        </is>
      </c>
      <c r="C1131" s="6" t="inlineStr">
        <is>
          <t>价格风险是指货品市场价格变动的不确定性对某项金融工具未来现金流量的公允价值的潜在不利影响。公司为进行生产、营业活动而从国内外供货商采购原材料及商品。据此，公司将因原材料及商品价格变动而承担相关风险。由于缺乏该金融工具的交易市场，所以公司对此不采取避险措施。</t>
        </is>
      </c>
      <c r="D1131" s="6" t="inlineStr">
        <is>
          <t>價格風險乃貨品市場價格變動之不確定性對某項金融工具未來現金流量之公允價值之潛在不利影響。公司為進行生產、營業活動而從國內外供應商採購原材料及商品。據此，公司將因原材料及商品價格變動而承擔相關風險。由於缺乏該金融工具之交易市場，所以公司對此不採取避險措施。</t>
        </is>
      </c>
    </row>
    <row r="1132" ht="27.6" customFormat="1" customHeight="1" s="8">
      <c r="A1132" s="6" t="inlineStr">
        <is>
          <t>San lắp, giải phóng mặt bằng và đầu tư cơ sở hạ tầng</t>
        </is>
      </c>
      <c r="B1132" s="6" t="inlineStr">
        <is>
          <t>Ground filling and clearance, infrastructure investment</t>
        </is>
      </c>
      <c r="C1132" s="6" t="inlineStr">
        <is>
          <t>地面填土、地基加固、清理和基础建设投资</t>
        </is>
      </c>
      <c r="D1132" s="6" t="inlineStr">
        <is>
          <t>地面填土、地基加固、清理及基礎建設投資</t>
        </is>
      </c>
    </row>
    <row r="1133" customFormat="1" s="8">
      <c r="A1133" s="6" t="inlineStr">
        <is>
          <t>Sau năm thứ 5</t>
        </is>
      </c>
      <c r="B1133" s="6" t="inlineStr">
        <is>
          <t>After the fifth  year</t>
        </is>
      </c>
      <c r="C1133" s="6" t="inlineStr">
        <is>
          <t>第五年后</t>
        </is>
      </c>
      <c r="D1133" s="6" t="inlineStr">
        <is>
          <t>第五年後</t>
        </is>
      </c>
    </row>
    <row r="1134" customFormat="1" s="8">
      <c r="A1134" s="6" t="inlineStr">
        <is>
          <t>Sau năm thứ năm</t>
        </is>
      </c>
      <c r="B1134" s="6" t="inlineStr">
        <is>
          <t>After the fifth year</t>
        </is>
      </c>
      <c r="C1134" s="6" t="inlineStr">
        <is>
          <t>五年后偿还</t>
        </is>
      </c>
      <c r="D1134" s="6" t="inlineStr">
        <is>
          <t>五年後償還</t>
        </is>
      </c>
    </row>
    <row r="1135" customFormat="1" s="8">
      <c r="A1135" s="6" t="inlineStr">
        <is>
          <t>Số</t>
        </is>
      </c>
      <c r="B1135" s="6" t="inlineStr">
        <is>
          <t>No.</t>
        </is>
      </c>
      <c r="C1135" s="6" t="inlineStr">
        <is>
          <t>合同编号</t>
        </is>
      </c>
      <c r="D1135" s="6" t="inlineStr">
        <is>
          <t>合約編號</t>
        </is>
      </c>
    </row>
    <row r="1136" customFormat="1" s="8">
      <c r="A1136" s="6" t="inlineStr">
        <is>
          <t>Số chứng chỉ hành nghề</t>
        </is>
      </c>
      <c r="B1136" s="6" t="inlineStr">
        <is>
          <t>Registered No.</t>
        </is>
      </c>
      <c r="C1136" s="6" t="inlineStr">
        <is>
          <t>执业证书编号</t>
        </is>
      </c>
      <c r="D1136" s="6" t="inlineStr">
        <is>
          <t>執業證書編號</t>
        </is>
      </c>
    </row>
    <row r="1137" customFormat="1" s="8">
      <c r="A1137" s="6" t="inlineStr">
        <is>
          <t>Số chuyển lỗ mang sang</t>
        </is>
      </c>
      <c r="B1137" s="6" t="inlineStr">
        <is>
          <t>Tax loss brought forward</t>
        </is>
      </c>
      <c r="C1137" s="6" t="inlineStr">
        <is>
          <t>可结转的亏损额</t>
        </is>
      </c>
      <c r="D1137" s="6" t="inlineStr">
        <is>
          <t>可結轉的虧損額</t>
        </is>
      </c>
    </row>
    <row r="1138" ht="27.6" customFormat="1" customHeight="1" s="8">
      <c r="A1138" s="6" t="inlineStr">
        <is>
          <t>Số cổ phần phổ thông bình quân lưu hành</t>
        </is>
      </c>
      <c r="B1138" s="6" t="inlineStr">
        <is>
          <t>Number of weighted mean of ordinary shares in circulation</t>
        </is>
      </c>
      <c r="C1138" s="6" t="inlineStr">
        <is>
          <t>流通在外的普通股加权平均股数-chọn-流通在外普通股平均股数</t>
        </is>
      </c>
      <c r="D1138" s="6" t="inlineStr">
        <is>
          <t>流通在外之普通股加權平均股數-chọn-流通在外普通股平均股數</t>
        </is>
      </c>
    </row>
    <row r="1139" customFormat="1" s="8">
      <c r="A1139" s="6" t="inlineStr">
        <is>
          <t>Số cuối năm</t>
        </is>
      </c>
      <c r="B1139" s="6" t="inlineStr">
        <is>
          <t>Closing balance</t>
        </is>
      </c>
      <c r="C1139" s="6" t="inlineStr">
        <is>
          <t>年底余额</t>
        </is>
      </c>
      <c r="D1139" s="6" t="inlineStr">
        <is>
          <t>年底餘額</t>
        </is>
      </c>
    </row>
    <row r="1140" customFormat="1" s="8">
      <c r="A1140" s="6" t="inlineStr">
        <is>
          <t>Số cuối năm nay</t>
        </is>
      </c>
      <c r="B1140" s="6" t="inlineStr">
        <is>
          <t>Closing balance of current year</t>
        </is>
      </c>
      <c r="C1140" s="6" t="inlineStr">
        <is>
          <t>本年度的年底余额</t>
        </is>
      </c>
      <c r="D1140" s="6" t="inlineStr">
        <is>
          <t>本年度之年底餘額</t>
        </is>
      </c>
    </row>
    <row r="1141" ht="41.4" customFormat="1" customHeight="1" s="8">
      <c r="A1141" s="6" t="inlineStr">
        <is>
          <t>Số cuối năm trước, đầu năm nay</t>
        </is>
      </c>
      <c r="B1141" s="6" t="inlineStr">
        <is>
          <t>Closing balance of prior year, Opening balance of current year</t>
        </is>
      </c>
      <c r="C1141" s="6" t="inlineStr">
        <is>
          <t>上年度的年底余额（本年度的年初余额）</t>
        </is>
      </c>
      <c r="D1141" s="6" t="inlineStr">
        <is>
          <t>上年度之年底餘額（本年度之年初餘額）</t>
        </is>
      </c>
    </row>
    <row r="1142" customFormat="1" s="8">
      <c r="A1142" s="6" t="inlineStr">
        <is>
          <t>Số đã nộp, khấu trừ</t>
        </is>
      </c>
      <c r="B1142" s="6" t="inlineStr">
        <is>
          <t>Paid, withheld</t>
        </is>
      </c>
      <c r="C1142" s="6" t="inlineStr">
        <is>
          <t>年度内已抵扣、已纳税额</t>
        </is>
      </c>
      <c r="D1142" s="6" t="inlineStr">
        <is>
          <t>年度內已抵扣、已納稅額</t>
        </is>
      </c>
    </row>
    <row r="1143" customFormat="1" s="8">
      <c r="A1143" s="6" t="inlineStr">
        <is>
          <t>Số đã nộp, khấu trừ trong năm</t>
        </is>
      </c>
      <c r="B1143" s="6" t="inlineStr">
        <is>
          <t>Paid, withheld</t>
        </is>
      </c>
      <c r="C1143" s="6" t="inlineStr">
        <is>
          <t>年度内已抵扣、已纳税额</t>
        </is>
      </c>
      <c r="D1143" s="6" t="inlineStr">
        <is>
          <t>年度內已抵扣、已納稅額</t>
        </is>
      </c>
    </row>
    <row r="1144" customFormat="1" s="8">
      <c r="A1144" s="6" t="inlineStr">
        <is>
          <t>Số đầu năm</t>
        </is>
      </c>
      <c r="B1144" s="6" t="inlineStr">
        <is>
          <t>Opening balance</t>
        </is>
      </c>
      <c r="C1144" s="6" t="inlineStr">
        <is>
          <t>年初余额</t>
        </is>
      </c>
      <c r="D1144" s="6" t="inlineStr">
        <is>
          <t>年初餘額</t>
        </is>
      </c>
    </row>
    <row r="1145" customFormat="1" s="8">
      <c r="A1145" s="6" t="inlineStr">
        <is>
          <t>Số đầu năm trước</t>
        </is>
      </c>
      <c r="B1145" s="6" t="inlineStr">
        <is>
          <t>Opening balance of prior year</t>
        </is>
      </c>
      <c r="C1145" s="6" t="inlineStr">
        <is>
          <t>上年度的年初余额</t>
        </is>
      </c>
      <c r="D1145" s="6" t="inlineStr">
        <is>
          <t>上年度之年初餘額</t>
        </is>
      </c>
    </row>
    <row r="1146" customFormat="1" s="8">
      <c r="A1146" s="6" t="inlineStr">
        <is>
          <t>Số dư cuối kỳ</t>
        </is>
      </c>
      <c r="B1146" s="6" t="inlineStr">
        <is>
          <t xml:space="preserve">Closing balance </t>
        </is>
      </c>
      <c r="C1146" s="6" t="inlineStr">
        <is>
          <t>期末余额</t>
        </is>
      </c>
      <c r="D1146" s="6" t="inlineStr">
        <is>
          <t>期末餘額</t>
        </is>
      </c>
    </row>
    <row r="1147" customFormat="1" s="8">
      <c r="A1147" s="6" t="inlineStr">
        <is>
          <t>Số dư cuối kỳ (USD)</t>
        </is>
      </c>
      <c r="B1147" s="6" t="inlineStr">
        <is>
          <t>Closing balance (USD)</t>
        </is>
      </c>
      <c r="C1147" s="6" t="inlineStr">
        <is>
          <t>期末余额（美元）</t>
        </is>
      </c>
      <c r="D1147" s="6" t="inlineStr">
        <is>
          <t>期末餘額（美元）</t>
        </is>
      </c>
    </row>
    <row r="1148" customFormat="1" s="8">
      <c r="A1148" s="6" t="inlineStr">
        <is>
          <t>Số dư cuối kỳ (VND)</t>
        </is>
      </c>
      <c r="B1148" s="6" t="inlineStr">
        <is>
          <t>Closing balance (VND)</t>
        </is>
      </c>
      <c r="C1148" s="6" t="inlineStr">
        <is>
          <t>期末余额（越南盾）</t>
        </is>
      </c>
      <c r="D1148" s="6" t="inlineStr">
        <is>
          <t>期末餘額（越南盾）</t>
        </is>
      </c>
    </row>
    <row r="1149" customFormat="1" s="8">
      <c r="A1149" s="6" t="inlineStr">
        <is>
          <t>Số dư cuối năm</t>
        </is>
      </c>
      <c r="B1149" s="6" t="inlineStr">
        <is>
          <t>Closing balance</t>
        </is>
      </c>
      <c r="C1149" s="6" t="inlineStr">
        <is>
          <t>年底余额</t>
        </is>
      </c>
      <c r="D1149" s="6" t="inlineStr">
        <is>
          <t>年底餘額</t>
        </is>
      </c>
    </row>
    <row r="1150" customFormat="1" s="8">
      <c r="A1150" s="6" t="inlineStr">
        <is>
          <t>Số dư đầu năm</t>
        </is>
      </c>
      <c r="B1150" s="6" t="inlineStr">
        <is>
          <t>Opening balance</t>
        </is>
      </c>
      <c r="C1150" s="6" t="inlineStr">
        <is>
          <t>年初余额</t>
        </is>
      </c>
      <c r="D1150" s="6" t="inlineStr">
        <is>
          <t>年初餘額</t>
        </is>
      </c>
    </row>
    <row r="1151" customFormat="1" s="8">
      <c r="A1151" s="6" t="inlineStr">
        <is>
          <t>Số dư nợ quá hạn</t>
        </is>
      </c>
      <c r="B1151" s="6" t="inlineStr">
        <is>
          <t>Overdue debt balance</t>
        </is>
      </c>
      <c r="C1151" s="6" t="inlineStr">
        <is>
          <t>逾期帐款余额</t>
        </is>
      </c>
      <c r="D1151" s="6" t="inlineStr">
        <is>
          <t>逾期帳款餘額</t>
        </is>
      </c>
    </row>
    <row r="1152" ht="151.8" customFormat="1" customHeight="1" s="8">
      <c r="A1152" s="6" t="inlineStr">
        <is>
          <t>Số dự phòng giảm giá hàng tồn kho được lập trên cơ sở chênh lệch lớn hơn giữa giá gốc và giá trị thuần có thể thực hiện được của hàng tồn kho tại ngày lập Bảng cân đối kế toán. Tăng hoặc giảm số dư dự phòng giảm giá hàng tồn kho được hạch toán vào giá vốn hàng bán trong kỳ.</t>
        </is>
      </c>
      <c r="B1152" s="6" t="inlineStr">
        <is>
          <t>The evaluation of necessary provision for decline in value of inventory is established as the difference whose historical cost of goods is higher than the net realizable value as at the balance sheet date. Increase or decrease in the balance of the provision for diminution in inventory is charged into the cost of goods sold in the period.</t>
        </is>
      </c>
      <c r="C1152" s="6" t="inlineStr">
        <is>
          <t>存货跌价损失准备应以资产负债表日的成本高于可变现净值的差异计提。该损失准备增加或减少金额应列入当期销货成本。</t>
        </is>
      </c>
      <c r="D1152" s="6" t="inlineStr">
        <is>
          <t>存貨跌價損失準備應以資產負債表日之成本高於可變現淨值之差異計提。該損失準備增加或減少金額應列入當期銷貨成本。</t>
        </is>
      </c>
    </row>
    <row r="1153" customFormat="1" s="8">
      <c r="A1153" s="6" t="inlineStr">
        <is>
          <t>Số giấy CN ĐKHN kiểm toán:</t>
        </is>
      </c>
      <c r="B1153" s="6" t="inlineStr">
        <is>
          <t>Registered No.:</t>
        </is>
      </c>
      <c r="C1153" s="6" t="inlineStr">
        <is>
          <t>注册会计师证书编号：</t>
        </is>
      </c>
      <c r="D1153" s="6" t="inlineStr">
        <is>
          <t>註冊會計師證書編號：</t>
        </is>
      </c>
    </row>
    <row r="1154" customFormat="1" s="8">
      <c r="A1154" s="6" t="inlineStr">
        <is>
          <t>Số hợp đồng</t>
        </is>
      </c>
      <c r="B1154" s="6" t="inlineStr">
        <is>
          <t>Contract No.</t>
        </is>
      </c>
      <c r="C1154" s="6" t="inlineStr">
        <is>
          <t>合同编号</t>
        </is>
      </c>
      <c r="D1154" s="6" t="inlineStr">
        <is>
          <t>合約編號</t>
        </is>
      </c>
    </row>
    <row r="1155" customFormat="1" s="8">
      <c r="A1155" s="6" t="inlineStr">
        <is>
          <t>Số khế ước</t>
        </is>
      </c>
      <c r="B1155" s="6" t="inlineStr">
        <is>
          <t>Promissory note No.</t>
        </is>
      </c>
      <c r="C1155" s="6" t="inlineStr">
        <is>
          <t>契约编号</t>
        </is>
      </c>
      <c r="D1155" s="6" t="inlineStr">
        <is>
          <t>契約編號</t>
        </is>
      </c>
    </row>
    <row r="1156" customFormat="1" s="8">
      <c r="A1156" s="6" t="inlineStr">
        <is>
          <t>Số lợi nhuận được chia</t>
        </is>
      </c>
      <c r="B1156" s="6" t="inlineStr">
        <is>
          <t>Dividend</t>
        </is>
      </c>
      <c r="C1156" s="6" t="inlineStr">
        <is>
          <t>派发股息</t>
        </is>
      </c>
      <c r="D1156" s="6" t="inlineStr">
        <is>
          <t>派發股息</t>
        </is>
      </c>
    </row>
    <row r="1157" ht="27.6" customFormat="1" customHeight="1" s="8">
      <c r="A1157" s="6" t="inlineStr">
        <is>
          <t>Số lượng cổ phần đã bán ra công chúng</t>
        </is>
      </c>
      <c r="B1157" s="6" t="inlineStr">
        <is>
          <t>Number of shares issued</t>
        </is>
      </c>
      <c r="C1157" s="6" t="inlineStr">
        <is>
          <t>已公开发售的股数</t>
        </is>
      </c>
      <c r="D1157" s="6" t="inlineStr">
        <is>
          <t>已公開發售之股數</t>
        </is>
      </c>
    </row>
    <row r="1158" ht="27.6" customFormat="1" customHeight="1" s="8">
      <c r="A1158" s="6" t="inlineStr">
        <is>
          <t>Số lượng cổ phần đăng ký phát hành</t>
        </is>
      </c>
      <c r="B1158" s="6" t="inlineStr">
        <is>
          <t>Number of registered shares</t>
        </is>
      </c>
      <c r="C1158" s="6" t="inlineStr">
        <is>
          <t>已注册发行的股数</t>
        </is>
      </c>
      <c r="D1158" s="6" t="inlineStr">
        <is>
          <t>已註冊發行之股數</t>
        </is>
      </c>
    </row>
    <row r="1159" ht="27.6" customFormat="1" customHeight="1" s="8">
      <c r="A1159" s="6" t="inlineStr">
        <is>
          <t>Số lượng cổ phần đang lưu hành</t>
        </is>
      </c>
      <c r="B1159" s="6" t="inlineStr">
        <is>
          <t>Number of shares in circulation</t>
        </is>
      </c>
      <c r="C1159" s="6" t="inlineStr">
        <is>
          <t>流通在外股数</t>
        </is>
      </c>
      <c r="D1159" s="6" t="inlineStr">
        <is>
          <t>流通在外股數</t>
        </is>
      </c>
    </row>
    <row r="1160" customFormat="1" s="8">
      <c r="A1160" s="6" t="inlineStr">
        <is>
          <t>Số lượng cổ phần được mua lại</t>
        </is>
      </c>
      <c r="B1160" s="6" t="inlineStr">
        <is>
          <t>Number of shares acquired</t>
        </is>
      </c>
      <c r="C1160" s="6" t="inlineStr">
        <is>
          <t>回购股数</t>
        </is>
      </c>
      <c r="D1160" s="6" t="inlineStr">
        <is>
          <t>回購股數</t>
        </is>
      </c>
    </row>
    <row r="1161" customFormat="1" s="8">
      <c r="A1161" s="6" t="inlineStr">
        <is>
          <t>Số phải nộp</t>
        </is>
      </c>
      <c r="B1161" s="6" t="inlineStr">
        <is>
          <t>Payable</t>
        </is>
      </c>
      <c r="C1161" s="6" t="inlineStr">
        <is>
          <t>应纳税额</t>
        </is>
      </c>
      <c r="D1161" s="6" t="inlineStr">
        <is>
          <t>應納稅額</t>
        </is>
      </c>
    </row>
    <row r="1162" customFormat="1" s="8">
      <c r="A1162" s="6" t="inlineStr">
        <is>
          <t>Số phải nộp trong năm</t>
        </is>
      </c>
      <c r="B1162" s="6" t="inlineStr">
        <is>
          <t>Payable</t>
        </is>
      </c>
      <c r="C1162" s="6" t="inlineStr">
        <is>
          <t>年度内应纳税额</t>
        </is>
      </c>
      <c r="D1162" s="6" t="inlineStr">
        <is>
          <t>年度內應納稅額</t>
        </is>
      </c>
    </row>
    <row r="1163" customFormat="1" s="8">
      <c r="A1163" s="6" t="inlineStr">
        <is>
          <t>Số phụ lục</t>
        </is>
      </c>
      <c r="B1163" s="6" t="inlineStr">
        <is>
          <t>Addendum No.</t>
        </is>
      </c>
      <c r="C1163" s="6" t="inlineStr">
        <is>
          <t>附件编号</t>
        </is>
      </c>
      <c r="D1163" s="6" t="inlineStr">
        <is>
          <t>附錄編號</t>
        </is>
      </c>
    </row>
    <row r="1164" customFormat="1" s="8">
      <c r="A1164" s="6" t="inlineStr">
        <is>
          <t>Số phụ lục hợp đồng</t>
        </is>
      </c>
      <c r="B1164" s="6" t="inlineStr">
        <is>
          <t>Contract addendum No.</t>
        </is>
      </c>
      <c r="C1164" s="6" t="inlineStr">
        <is>
          <t>合同附件编号</t>
        </is>
      </c>
      <c r="D1164" s="6" t="inlineStr">
        <is>
          <t>合約附錄編號</t>
        </is>
      </c>
    </row>
    <row r="1165" customFormat="1" s="8">
      <c r="A1165" s="6" t="inlineStr">
        <is>
          <t>Số tiền</t>
        </is>
      </c>
      <c r="B1165" s="6" t="inlineStr">
        <is>
          <t>Amount</t>
        </is>
      </c>
      <c r="C1165" s="6" t="inlineStr">
        <is>
          <t>金额</t>
        </is>
      </c>
      <c r="D1165" s="6" t="inlineStr">
        <is>
          <t>金額</t>
        </is>
      </c>
    </row>
    <row r="1166" ht="27.6" customFormat="1" customHeight="1" s="8">
      <c r="A1166" s="6" t="inlineStr">
        <is>
          <t>Số tiền phải trả dưới hình thức thuê tài chính</t>
        </is>
      </c>
      <c r="B1166" s="6" t="inlineStr">
        <is>
          <t>Finance lease payables</t>
        </is>
      </c>
      <c r="C1166" s="6" t="inlineStr">
        <is>
          <t>应付融资租赁款明细如下：</t>
        </is>
      </c>
      <c r="D1166" s="6" t="inlineStr">
        <is>
          <t>應付融資租賃款明細如下：</t>
        </is>
      </c>
    </row>
    <row r="1167" ht="41.4" customFormat="1" customHeight="1" s="8">
      <c r="A1167" s="6" t="inlineStr">
        <is>
          <t>Số tiền phải trả dưới hình thức thuê tài chính cho các hợp đồng thuê như sau</t>
        </is>
      </c>
      <c r="B1167" s="6" t="inlineStr">
        <is>
          <t>Finance lease payables for the lease contracts are as follows</t>
        </is>
      </c>
      <c r="C1167" s="6" t="inlineStr">
        <is>
          <t>租赁合同的应付融资租赁款明细如下：</t>
        </is>
      </c>
      <c r="D1167" s="6" t="inlineStr">
        <is>
          <t>租賃合約的應付融資租賃款明細如下：</t>
        </is>
      </c>
    </row>
    <row r="1168" customFormat="1" s="8">
      <c r="A1168" s="6" t="inlineStr">
        <is>
          <t>Số:</t>
        </is>
      </c>
      <c r="B1168" s="6" t="inlineStr">
        <is>
          <t>No.:</t>
        </is>
      </c>
      <c r="C1168" s="6" t="inlineStr">
        <is>
          <t>编号：</t>
        </is>
      </c>
      <c r="D1168" s="6" t="inlineStr">
        <is>
          <t>編號：</t>
        </is>
      </c>
    </row>
    <row r="1169" customFormat="1" s="8">
      <c r="A1169" s="6" t="inlineStr">
        <is>
          <t>Tại ngày</t>
        </is>
      </c>
      <c r="B1169" s="6" t="inlineStr">
        <is>
          <t>As at</t>
        </is>
      </c>
      <c r="C1169" s="6" t="inlineStr">
        <is>
          <t>截至</t>
        </is>
      </c>
      <c r="D1169" s="6" t="inlineStr">
        <is>
          <t>截至</t>
        </is>
      </c>
    </row>
    <row r="1170" customFormat="1" s="8">
      <c r="A1170" s="6" t="inlineStr">
        <is>
          <t>Tại ngày cuối năm</t>
        </is>
      </c>
      <c r="B1170" s="6" t="inlineStr">
        <is>
          <t>As at the closing date</t>
        </is>
      </c>
      <c r="C1170" s="6" t="inlineStr">
        <is>
          <t>于年底日</t>
        </is>
      </c>
      <c r="D1170" s="6" t="inlineStr">
        <is>
          <t>於年底日</t>
        </is>
      </c>
    </row>
    <row r="1171" customFormat="1" s="8">
      <c r="A1171" s="6" t="inlineStr">
        <is>
          <t>Tại ngày đầu năm</t>
        </is>
      </c>
      <c r="B1171" s="6" t="inlineStr">
        <is>
          <t>As at the opening date</t>
        </is>
      </c>
      <c r="C1171" s="6" t="inlineStr">
        <is>
          <t>年初余额</t>
        </is>
      </c>
      <c r="D1171" s="6" t="inlineStr">
        <is>
          <t>年初餘額</t>
        </is>
      </c>
    </row>
    <row r="1172" ht="124.2" customFormat="1" customHeight="1" s="8">
      <c r="A1172" s="6" t="inlineStr">
        <is>
          <t xml:space="preserve">Tại ngày lập Bảng cân đối kế toán, Công ty sử dụng tỷ giá chuyển khoản của ngân hàng thương mại nơi doanh nghiệp thường xuyên có giao dịch để đánh giá lại các khoản mục tiền tệ có gốc ngoại tệ. </t>
        </is>
      </c>
      <c r="B1172" s="6" t="inlineStr">
        <is>
          <t xml:space="preserve">At the balance sheet date, the Company shall use the transfer exchange rate of the commercial bank where the Company has regular transactions to revaluate the monetary assets and liabilities denominated in foreign currencies. </t>
        </is>
      </c>
      <c r="C1172" s="6" t="inlineStr">
        <is>
          <t>在财务报表编制日，公司采用其经常交易往来的商业银行公布的电汇汇率对外币货币性项目进行外币重估。</t>
        </is>
      </c>
      <c r="D1172" s="6" t="inlineStr">
        <is>
          <t>於財務報表編製日，公司採用其經常交易往來的商業銀行公佈的電匯匯率對外幣貨幣性項目進行外幣重估。</t>
        </is>
      </c>
    </row>
    <row r="1173" ht="110.4" customFormat="1" customHeight="1" s="8">
      <c r="A1173" s="6" t="inlineStr">
        <is>
          <t>Tỷ giá chuyển khoản này là tỷ giá mua (tỷ giá bán hoặc tỷ giá mua bán chuyển khoản trung bình) của ngân hàng thương mại nơi Công ty thường xuyên có giao dịch.</t>
        </is>
      </c>
      <c r="B1173" s="6" t="inlineStr">
        <is>
          <t>This transfer exchange rate may be the buying exchange rate (the selling exchange rate or the average transfer selling and buying rate) of the commercial bank where the Company has regular transactions.</t>
        </is>
      </c>
      <c r="C1173" s="6" t="inlineStr">
        <is>
          <t>该汇率是指公司经常交易往来的商业银行公布的电汇买入价汇率（电汇卖出价或电汇买卖平均价汇率）。</t>
        </is>
      </c>
      <c r="D1173" s="6" t="inlineStr">
        <is>
          <t>該匯率係指公司經常交易往來的商業銀行公佈的電匯買入價匯率（電匯賣出價或電匯買賣平均價匯率）。</t>
        </is>
      </c>
    </row>
    <row r="1174" customFormat="1" s="8">
      <c r="A1174" s="6" t="inlineStr">
        <is>
          <t>Tài sản cố định</t>
        </is>
      </c>
      <c r="B1174" s="6" t="inlineStr">
        <is>
          <t>Fixed assets</t>
        </is>
      </c>
      <c r="C1174" s="6" t="inlineStr">
        <is>
          <t>固定资产</t>
        </is>
      </c>
      <c r="D1174" s="6" t="inlineStr">
        <is>
          <t>固定資產</t>
        </is>
      </c>
    </row>
    <row r="1175" customFormat="1" s="8">
      <c r="A1175" s="6" t="inlineStr">
        <is>
          <t>Tài sản cố định hữu hình</t>
        </is>
      </c>
      <c r="B1175" s="6" t="inlineStr">
        <is>
          <t>Tangible fixed assets</t>
        </is>
      </c>
      <c r="C1175" s="6" t="inlineStr">
        <is>
          <t>有形固定资产</t>
        </is>
      </c>
      <c r="D1175" s="6" t="inlineStr">
        <is>
          <t>有形固定資產</t>
        </is>
      </c>
    </row>
    <row r="1176" ht="41.4" customFormat="1" customHeight="1" s="8">
      <c r="A1176" s="6" t="inlineStr">
        <is>
          <t>Tài sản cố định hữu hình được trình bày theo nguyên giá trừ đi khấu hao lũy kế.</t>
        </is>
      </c>
      <c r="B1176" s="6" t="inlineStr">
        <is>
          <t>Tangible fixed assets are stated at cost less accumulated depreciation.</t>
        </is>
      </c>
      <c r="C1176" s="6" t="inlineStr">
        <is>
          <t>有形固定资产应以原始成本（原值）减去累计折旧后的净值认列。</t>
        </is>
      </c>
      <c r="D1176" s="6" t="inlineStr">
        <is>
          <t>有形固定資產應以原始成本（原值）減去累計折舊後之淨值認列。</t>
        </is>
      </c>
    </row>
    <row r="1177" customFormat="1" s="8">
      <c r="A1177" s="6" t="inlineStr">
        <is>
          <t>Tài sản cố định hữu hình khác</t>
        </is>
      </c>
      <c r="B1177" s="6" t="inlineStr">
        <is>
          <t>Others</t>
        </is>
      </c>
      <c r="C1177" s="6" t="inlineStr">
        <is>
          <t>其他有形固定资产</t>
        </is>
      </c>
      <c r="D1177" s="6" t="inlineStr">
        <is>
          <t>其他有形固定資產</t>
        </is>
      </c>
    </row>
    <row r="1178" customFormat="1" s="8">
      <c r="A1178" s="6" t="inlineStr">
        <is>
          <t>Tài sản cố định thuê tài chính</t>
        </is>
      </c>
      <c r="B1178" s="6" t="inlineStr">
        <is>
          <t>Finance lease fixed assets</t>
        </is>
      </c>
      <c r="C1178" s="6" t="inlineStr">
        <is>
          <t>融资租赁资产</t>
        </is>
      </c>
      <c r="D1178" s="6" t="inlineStr">
        <is>
          <t>融資租賃資產</t>
        </is>
      </c>
    </row>
    <row r="1179" ht="41.4" customFormat="1" customHeight="1" s="8">
      <c r="A1179" s="6" t="inlineStr">
        <is>
          <t>Tài sản cố định thuê tài chính được trình bày theo nguyên giá trừ đi khấu hao lũy kế.</t>
        </is>
      </c>
      <c r="B1179" s="6" t="inlineStr">
        <is>
          <t>Finance lease fixed assets are presented by costs minus accumulated depreciation.</t>
        </is>
      </c>
      <c r="C1179" s="6" t="inlineStr">
        <is>
          <t>融资租赁固定资产应以原始成本（原值）减去累计折旧后的净值认列。</t>
        </is>
      </c>
      <c r="D1179" s="6" t="inlineStr">
        <is>
          <t>融資租賃固定資產應以原始成本（原值）減去累計折舊後之淨值認列。</t>
        </is>
      </c>
    </row>
    <row r="1180" customFormat="1" s="8">
      <c r="A1180" s="6" t="inlineStr">
        <is>
          <t>Tài sản cố định vô hình</t>
        </is>
      </c>
      <c r="B1180" s="6" t="inlineStr">
        <is>
          <t>Intangible fixed assets</t>
        </is>
      </c>
      <c r="C1180" s="6" t="inlineStr">
        <is>
          <t>无形固定资产</t>
        </is>
      </c>
      <c r="D1180" s="6" t="inlineStr">
        <is>
          <t>無形固定資產</t>
        </is>
      </c>
    </row>
    <row r="1181" ht="41.4" customFormat="1" customHeight="1" s="8">
      <c r="A1181" s="6" t="inlineStr">
        <is>
          <t>Tài sản cố định vô hình được trình bày theo nguyên giá trừ đi khấu hao lũy kế.</t>
        </is>
      </c>
      <c r="B1181" s="6" t="inlineStr">
        <is>
          <t>Intangible fixed assets are presented by costs minus accumulated amortisation.</t>
        </is>
      </c>
      <c r="C1181" s="6" t="inlineStr">
        <is>
          <t>无形固定资产应以原始成本（原值）减去累计折旧后的净值认列。</t>
        </is>
      </c>
      <c r="D1181" s="6" t="inlineStr">
        <is>
          <t>無形固定資產應以原始成本（原值）減去累計折舊後之淨值認列。</t>
        </is>
      </c>
    </row>
    <row r="1182" customFormat="1" s="8">
      <c r="A1182" s="6" t="inlineStr">
        <is>
          <t>Tài sản dài hạn khác</t>
        </is>
      </c>
      <c r="B1182" s="6" t="inlineStr">
        <is>
          <t>Other non-current assets</t>
        </is>
      </c>
      <c r="C1182" s="6" t="inlineStr">
        <is>
          <t>其他长期资产</t>
        </is>
      </c>
      <c r="D1182" s="6" t="inlineStr">
        <is>
          <t>其他長期資產</t>
        </is>
      </c>
    </row>
    <row r="1183" customFormat="1" s="8">
      <c r="A1183" s="6" t="inlineStr">
        <is>
          <t>Tài sản đảm bảo</t>
        </is>
      </c>
      <c r="B1183" s="6" t="inlineStr">
        <is>
          <t>Mortgages</t>
        </is>
      </c>
      <c r="C1183" s="6" t="inlineStr">
        <is>
          <t>资产担保</t>
        </is>
      </c>
      <c r="D1183" s="6" t="inlineStr">
        <is>
          <t>資產擔保</t>
        </is>
      </c>
    </row>
    <row r="1184" customFormat="1" s="8">
      <c r="A1184" s="6" t="inlineStr">
        <is>
          <t>Tài sản dở dang dài hạn</t>
        </is>
      </c>
      <c r="B1184" s="6" t="inlineStr">
        <is>
          <t>Long-term unfinished assets</t>
        </is>
      </c>
      <c r="C1184" s="6" t="inlineStr">
        <is>
          <t>长期在建资产</t>
        </is>
      </c>
      <c r="D1184" s="6" t="inlineStr">
        <is>
          <t>長期在建資產</t>
        </is>
      </c>
    </row>
    <row r="1185" customFormat="1" s="8">
      <c r="A1185" s="6" t="inlineStr">
        <is>
          <t>Tài sản khác</t>
        </is>
      </c>
      <c r="B1185" s="6" t="inlineStr">
        <is>
          <t>Others</t>
        </is>
      </c>
      <c r="C1185" s="6" t="inlineStr">
        <is>
          <t>其他资产</t>
        </is>
      </c>
      <c r="D1185" s="6" t="inlineStr">
        <is>
          <t>其他資產</t>
        </is>
      </c>
    </row>
    <row r="1186" customFormat="1" s="8">
      <c r="A1186" s="6" t="inlineStr">
        <is>
          <t>Tài sản ngắn hạn khác</t>
        </is>
      </c>
      <c r="B1186" s="6" t="inlineStr">
        <is>
          <t>Other current assets</t>
        </is>
      </c>
      <c r="C1186" s="6" t="inlineStr">
        <is>
          <t>其他短期资产</t>
        </is>
      </c>
      <c r="D1186" s="6" t="inlineStr">
        <is>
          <t>其他短期資產</t>
        </is>
      </c>
    </row>
    <row r="1187" customFormat="1" s="8">
      <c r="A1187" s="6" t="inlineStr">
        <is>
          <t>Tài sản thế chấp</t>
        </is>
      </c>
      <c r="B1187" s="6" t="inlineStr">
        <is>
          <t>Mortgages</t>
        </is>
      </c>
      <c r="C1187" s="6" t="inlineStr">
        <is>
          <t>资产抵押</t>
        </is>
      </c>
      <c r="D1187" s="6" t="inlineStr">
        <is>
          <t>資產抵押</t>
        </is>
      </c>
    </row>
    <row r="1188" ht="27.6" customFormat="1" customHeight="1" s="8">
      <c r="A1188" s="6" t="inlineStr">
        <is>
          <t>Tài sản thiếu chờ xử lý</t>
        </is>
      </c>
      <c r="B1188" s="6" t="inlineStr">
        <is>
          <t>Shortage of assets awaiting resolution</t>
        </is>
      </c>
      <c r="C1188" s="6" t="inlineStr">
        <is>
          <t>待处理流动资产损失</t>
        </is>
      </c>
      <c r="D1188" s="6" t="inlineStr">
        <is>
          <t>待處理流動資產損失</t>
        </is>
      </c>
    </row>
    <row r="1189" ht="27.6" customFormat="1" customHeight="1" s="8">
      <c r="A1189" s="6" t="inlineStr">
        <is>
          <t>Tài sản thừa chờ giải quyết</t>
        </is>
      </c>
      <c r="B1189" s="6" t="inlineStr">
        <is>
          <t>Surplus of assets awaiting resolution</t>
        </is>
      </c>
      <c r="C1189" s="6" t="inlineStr">
        <is>
          <t>待处理流动资产利益</t>
        </is>
      </c>
      <c r="D1189" s="6" t="inlineStr">
        <is>
          <t>待處理流動資產利益</t>
        </is>
      </c>
    </row>
    <row r="1190" customFormat="1" s="8">
      <c r="A1190" s="6" t="inlineStr">
        <is>
          <t>Tài sản thuê ngoài</t>
        </is>
      </c>
      <c r="B1190" s="6" t="inlineStr">
        <is>
          <t>Operating lease assets</t>
        </is>
      </c>
      <c r="C1190" s="6" t="inlineStr">
        <is>
          <t>融资租赁资产</t>
        </is>
      </c>
      <c r="D1190" s="6" t="inlineStr">
        <is>
          <t>融資租賃資產</t>
        </is>
      </c>
    </row>
    <row r="1191" ht="345" customFormat="1" customHeight="1" s="8">
      <c r="A1191" s="6" t="inlineStr">
        <is>
          <t>Tài sản thuê tài chính được ghi nhận như tài sản của Công ty theo giá trị hợp lý tại thời điểm khởi đầu thuê tài sản. Nếu giá trị hợp lý của tài sản thuê cao hơn giá trị hiện tại của khoản thanh toán tiền thuê tối thiểu cho việc thuê tài sản thì ghi theo giá trị hiện tại của khoản thanh toán tiền thuê tối thiểu. Khoản nợ phải trả cho bên cho thuê tương ứng được trình bày trên Bảng cân đối kế toán như một khoản nợ phải trả về thuê tài chính. Khoản thanh toán tiền thuê được chia ra thành chi phí tài chính và phải trả nợ gốc. Chi phí thuê tài chính được ghi nhận vào Báo cáo kết quả hoạt động kinh doanh dựa trên thời hạn thuê để phản ánh tỷ lệ lãi suất định kỳ cố định trên số dư còn lại của khoản nợ phải trả về thuê tài chính cho mỗi kỳ kế toán.</t>
        </is>
      </c>
      <c r="B1191" s="6" t="inlineStr">
        <is>
          <t>Assets held under finance leases are recognized as assets of the Company at their fair value at the date of acquisition. If the fair value of the assets acquired is higher than the present value of the minimum payment for the acquisition of assets, it shall be recorded at the present value of the minimum lease payment. The corresponding liability to the lesser is included in the balance sheet as a finance lease obligation. The lease payment is divided into financial costs and liabilities of principal. Finance costs are charged to the income statement over the term of the relevant lease so as to produce a constant periodic rate of charge on the remaining balance of the obligations for each accounting period.</t>
        </is>
      </c>
      <c r="C1191" s="6" t="inlineStr">
        <is>
          <t>融资租赁资产按照租赁开始日的公允价值列为公司资产。若租赁资产的公允价值高于最低租赁给付现值，宜以最低租赁给付现值计量。应付出租方的相应款项，应在资产负债表中列为融资租赁负债。租赁给付分成融资费用及租赁应付本金。融资租赁费用按照租赁期限在损益表中列示，且应当为每一会计期间的租赁负债余额乘以固定周期利率。</t>
        </is>
      </c>
      <c r="D1191" s="6" t="inlineStr">
        <is>
          <t>融資租賃資產按照租賃開始日之公允價值列為公司資產。若租賃資產之公允價值高於最低租賃給付現值，宜以最低租賃給付現值計量。應付出租方之相應款項，應在資產負債表中列為融資租賃負債。租賃給付分成融資費用及租賃應付本金。融資租賃費用按照租賃期限在損益表中列示，且應當為每一會計期間之租賃負債餘額乘以固定週期利率。</t>
        </is>
      </c>
    </row>
    <row r="1192" ht="193.2" customFormat="1" customHeight="1" s="8">
      <c r="A1192" s="6" t="inlineStr">
        <is>
          <t>Tài sản thuê tài chính được khấu hao theo phương pháp đường thẳng dựa trên thời gian hữu dụng ước tính của tài sản cùng loại thuộc sở hữu của Công ty. Trong trường hợp không chắc chắn là bên thuê sẽ có quyền sở hữu tài sản khi hết hạn hợp đồng thuê thì tài sản thuê tài chính được khấu hao theo thời gian ngắn hơn giữa thời gian hữu dụng ước tính và thời hạn thuê.</t>
        </is>
      </c>
      <c r="B1192" s="6" t="inlineStr">
        <is>
          <t>Assets held under finance leases are depreciated, on a straight-line basis, over the estimated useful lives of similar assets owned by the Company. In the case it is uncertain that the lessee will acquire the ownership of the assets upon expiry of the lease contract, the assets held under finance leases are depreciated over either the estimated useful life or the lease term depending on which one is shorter.</t>
        </is>
      </c>
      <c r="C1192" s="6" t="inlineStr">
        <is>
          <t>融资租赁资产按照归属于公司的同类资产的估计耐用年限采用直线法提列折旧。若不能确定承租方是否在租赁合约期满后取得租赁资产所有权，则应按照租赁期限及估计耐用年限两者中较短者对融资租赁资产提列折旧。</t>
        </is>
      </c>
      <c r="D1192" s="6" t="inlineStr">
        <is>
          <t>融資租賃資產按照歸屬於公司的同類資產之估計耐用年限採用直線法提列折舊。若不能確定承租方是否在租賃合約期滿後取得租賃資產所有權，則應按照租賃期限及估計耐用年限兩者中較短者對融資租賃資產提列折舊。</t>
        </is>
      </c>
    </row>
    <row r="1193" customFormat="1" s="8">
      <c r="A1193" s="6" t="inlineStr">
        <is>
          <t>Tài sản thuế thu nhập hoãn lại</t>
        </is>
      </c>
      <c r="B1193" s="6" t="inlineStr">
        <is>
          <t>Deferred income tax assets</t>
        </is>
      </c>
      <c r="C1193" s="6" t="inlineStr">
        <is>
          <t>递延所得税资产</t>
        </is>
      </c>
      <c r="D1193" s="6" t="inlineStr">
        <is>
          <t>遞延所得稅資產</t>
        </is>
      </c>
    </row>
    <row r="1194" ht="110.4" customFormat="1" customHeight="1" s="8">
      <c r="A1194" s="6" t="inlineStr">
        <is>
          <t xml:space="preserve">Tài sản thuế thu nhập hoãn lại không được ghi nhận vì Ban Giám đốc Công ty cho rằng không có sự chắc chắn là tài sản thuế hoãn lại có thể được sử dụng để tính thu nhập chịu thuế trong tương lai. </t>
        </is>
      </c>
      <c r="B1194" s="6" t="inlineStr">
        <is>
          <t xml:space="preserve">No deferred income tax assets are recognized to the extent as the Board of Management of the Company believes that it is uncertain that future taxable profit will be available against which a deferred tax asset could be utilized. </t>
        </is>
      </c>
      <c r="C1194" s="6" t="inlineStr">
        <is>
          <t>由于公司管理阶层认为并无可靠依据显示递延所得税资产有可能用于计算未来应课税所得，所以递延所得税资产不得认列。</t>
        </is>
      </c>
      <c r="D1194" s="6" t="inlineStr">
        <is>
          <t>由於公司管理階層認為並無可靠依據顯示遞延所得稅資產有可能用於計算未來應課稅所得，所以遞延所得稅資產不得認列。</t>
        </is>
      </c>
    </row>
    <row r="1195" ht="110.4" customFormat="1" customHeight="1" s="8">
      <c r="A1195" s="6" t="inlineStr">
        <is>
          <t xml:space="preserve">Tài sản thuế thu nhập hoãn lại không được ghi nhận vì Ban Tổng Giám đốc Công ty cho rằng không có sự chắc chắn là tài sản thuế hoãn lại có thể được sử dụng để tính thu nhập chịu thuế trong tương lai. </t>
        </is>
      </c>
      <c r="B1195" s="6" t="inlineStr">
        <is>
          <t xml:space="preserve">No deferred income tax assets are recognized to the extent as the Board of General Directors of the Company believes that it is uncertain that future taxable profit will be available against which a deferred tax asset could be utilized. </t>
        </is>
      </c>
      <c r="C1195" s="6" t="inlineStr">
        <is>
          <t>由于公司管理阶层认为并无可靠依据显示递延所得税资产有可能用于计算未来应课税所得，所以递延所得税资产不得认列。</t>
        </is>
      </c>
      <c r="D1195" s="6" t="inlineStr">
        <is>
          <t>由於公司管理階層認為並無可靠依據顯示遞延所得稅資產有可能用於計算未來應課稅所得，所以遞延所得稅資產不得認列。</t>
        </is>
      </c>
    </row>
    <row r="1196" ht="110.4" customFormat="1" customHeight="1" s="8">
      <c r="A1196" s="6" t="inlineStr">
        <is>
          <t xml:space="preserve">Tài sản thuế thu nhập hoãn lại không được ghi nhận vì Chủ tịch Công ty cho rằng không có sự chắc chắn là tài sản thuế hoãn lại có thể được sử dụng để tính thu nhập chịu thuế trong tương lai. </t>
        </is>
      </c>
      <c r="B1196" s="6" t="inlineStr">
        <is>
          <t xml:space="preserve">No deferred income tax assets are recognized to the extent as the Company’s Chairman believes that it is uncertain that future taxable profit will be available against which a deferred tax asset could be utilized. </t>
        </is>
      </c>
      <c r="C1196" s="6" t="inlineStr">
        <is>
          <t>由于公司董事长认为并无可靠依据显示递延所得税资产有可能用于计算未来应课税所得，所以递延所得税资产不得认列。</t>
        </is>
      </c>
      <c r="D1196" s="6" t="inlineStr">
        <is>
          <t>由於公司董事長認為並無可靠依據顯示遞延所得稅資產有可能用於計算未來應課稅所得，所以遞延所得稅資產不得認列。</t>
        </is>
      </c>
    </row>
    <row r="1197" ht="110.4" customFormat="1" customHeight="1" s="8">
      <c r="A1197" s="6" t="inlineStr">
        <is>
          <t xml:space="preserve">Tài sản thuế thu nhập hoãn lại không được ghi nhận vì Giám đốc Công ty cho rằng không có sự chắc chắn là tài sản thuế hoãn lại có thể được sử dụng để tính thu nhập chịu thuế trong tương lai. </t>
        </is>
      </c>
      <c r="B1197" s="6" t="inlineStr">
        <is>
          <t xml:space="preserve">No deferred income tax assets are recognized to the extent as the Company’s Director believes that it is uncertain that future taxable profit will be available against which a deferred tax asset could be utilized. </t>
        </is>
      </c>
      <c r="C1197" s="6" t="inlineStr">
        <is>
          <t>由于公司经理认为并无可靠依据显示递延所得税资产有可能用于计算未来应课税所得，所以递延所得税资产不得认列。</t>
        </is>
      </c>
      <c r="D1197" s="6" t="inlineStr">
        <is>
          <t>由於公司經理認為並無可靠依據顯示遞延所得稅資產有可能用於計算未來應課稅所得，所以遞延所得稅資產不得認列。</t>
        </is>
      </c>
    </row>
    <row r="1198" ht="110.4" customFormat="1" customHeight="1" s="8">
      <c r="A1198" s="6" t="inlineStr">
        <is>
          <t xml:space="preserve">Tài sản thuế thu nhập hoãn lại không được ghi nhận vì Giám đốc điều hành Công ty cho rằng không có sự chắc chắn là tài sản thuế hoãn lại có thể được sử dụng để tính thu nhập chịu thuế trong tương lai. </t>
        </is>
      </c>
      <c r="B1198" s="6" t="inlineStr">
        <is>
          <t xml:space="preserve">No deferred income tax assets are recognized to the extent as the Company’s Managing Director believes that it is uncertain that future taxable profit will be available against which a deferred tax asset could be utilized. </t>
        </is>
      </c>
      <c r="C1198" s="6" t="inlineStr">
        <is>
          <t>由于公司执行总监认为并无可靠依据显示递延所得税资产有可能用于计算未来应课税所得，所以递延所得税资产不得认列。</t>
        </is>
      </c>
      <c r="D1198" s="6" t="inlineStr">
        <is>
          <t>由於公司執行總監認為並無可靠依據顯示遞延所得稅資產有可能用於計算未來應課稅所得，所以遞延所得稅資產不得認列。</t>
        </is>
      </c>
    </row>
    <row r="1199" ht="110.4" customFormat="1" customHeight="1" s="8">
      <c r="A1199" s="6" t="inlineStr">
        <is>
          <t xml:space="preserve">Tài sản thuế thu nhập hoãn lại không được ghi nhận vì Hội đồng Quản trị Công ty cho rằng không có sự chắc chắn là tài sản thuế hoãn lại có thể được sử dụng để tính thu nhập chịu thuế trong tương lai. </t>
        </is>
      </c>
      <c r="B1199" s="6" t="inlineStr">
        <is>
          <t xml:space="preserve">No deferred income tax assets are recognized to the extent as the Board of Directors of the Company believes that it is uncertain that future taxable profit will be available against which a deferred tax asset could be utilized. </t>
        </is>
      </c>
      <c r="C1199" s="6" t="inlineStr">
        <is>
          <t>由于公司董事会认为并无可靠依据显示递延所得税资产有可能用于计算未来应课税所得，所以递延所得税资产不得认列。</t>
        </is>
      </c>
      <c r="D1199" s="6" t="inlineStr">
        <is>
          <t>由於公司董事會認為並無可靠依據顯示遞延所得稅資產有可能用於計算未來應課稅所得，所以遞延所得稅資產不得認列。</t>
        </is>
      </c>
    </row>
    <row r="1200" ht="110.4" customFormat="1" customHeight="1" s="8">
      <c r="A1200" s="6" t="inlineStr">
        <is>
          <t xml:space="preserve">Tài sản thuế thu nhập hoãn lại không được ghi nhận vì Tổng Giám đốc Công ty cho rằng không có sự chắc chắn là tài sản thuế hoãn lại có thể được sử dụng để tính thu nhập chịu thuế trong tương lai. </t>
        </is>
      </c>
      <c r="B1200" s="6" t="inlineStr">
        <is>
          <t xml:space="preserve">No deferred income tax assets are recognized to the extent as the Company’s General Director believes that it is uncertain that future taxable profit will be available against which a deferred tax asset could be utilized. </t>
        </is>
      </c>
      <c r="C1200" s="6" t="inlineStr">
        <is>
          <t>由于公司总经理认为并无可靠依据显示递延所得税资产有可能用于计算未来应课税所得，所以递延所得税资产不得认列。</t>
        </is>
      </c>
      <c r="D1200" s="6" t="inlineStr">
        <is>
          <t>由於公司總經理認為並無可靠依據顯示遞延所得稅資產有可能用於計算未來應課稅所得，所以遞延所得稅資產不得認列。</t>
        </is>
      </c>
    </row>
    <row r="1201" ht="110.4" customFormat="1" customHeight="1" s="8">
      <c r="A1201" s="6" t="inlineStr">
        <is>
          <t>Tài sản và công nợ có gốc ngoại tệ tại ngày lập Bảng cân đối kế toán được đánh giá lại theo tỷ giá giao dịch thực tế tại ngày lập Bảng cân đối kế toán. Tỷ giá giao dịch thực tế được xác định như sau:</t>
        </is>
      </c>
      <c r="B1201" s="6" t="inlineStr">
        <is>
          <t>Monetary assets and liabilities denominated in foreign currencies at the balance sheet date are revaluated by real exchange rates at the date of the balance sheet. The real exchange rates are determined as follows:</t>
        </is>
      </c>
      <c r="C1201" s="6" t="inlineStr">
        <is>
          <t>在资产负债表日，以外币计价的资产及应付应收帐款按照资产负债表日的实时汇率得到外币重估。实时汇率的确定原则如下：</t>
        </is>
      </c>
      <c r="D1201" s="6" t="inlineStr">
        <is>
          <t>於資產負債表日，以外幣計價之資產及應付應收帳款按照資產負債表日之實時匯率得到外幣重估。該實時匯率之確定原則如下：</t>
        </is>
      </c>
    </row>
    <row r="1202" customFormat="1" s="8">
      <c r="A1202" s="6" t="inlineStr">
        <is>
          <t>Tạm ứng</t>
        </is>
      </c>
      <c r="B1202" s="6" t="inlineStr">
        <is>
          <t>Advances</t>
        </is>
      </c>
      <c r="C1202" s="6" t="inlineStr">
        <is>
          <t>暂借款</t>
        </is>
      </c>
      <c r="D1202" s="6" t="inlineStr">
        <is>
          <t>暫借款</t>
        </is>
      </c>
    </row>
    <row r="1203" customFormat="1" s="8">
      <c r="A1203" s="6" t="inlineStr">
        <is>
          <t>Tăng khác</t>
        </is>
      </c>
      <c r="B1203" s="6" t="inlineStr">
        <is>
          <t>Other additions</t>
        </is>
      </c>
      <c r="C1203" s="6" t="inlineStr">
        <is>
          <t>其他增加</t>
        </is>
      </c>
      <c r="D1203" s="6" t="inlineStr">
        <is>
          <t>其他增加</t>
        </is>
      </c>
    </row>
    <row r="1204" ht="27.6" customFormat="1" customHeight="1" s="8">
      <c r="A1204" s="6" t="inlineStr">
        <is>
          <t>Tăng trong năm</t>
        </is>
      </c>
      <c r="B1204" s="6" t="inlineStr">
        <is>
          <t>Additions-chọn-Charge for the year</t>
        </is>
      </c>
      <c r="C1204" s="6" t="inlineStr">
        <is>
          <t>年度内增加</t>
        </is>
      </c>
      <c r="D1204" s="6" t="inlineStr">
        <is>
          <t>年度內增加</t>
        </is>
      </c>
    </row>
    <row r="1205" ht="27.6" customFormat="1" customHeight="1" s="8">
      <c r="A1205" s="6" t="inlineStr">
        <is>
          <t>Tăng vốn trong năm nay</t>
        </is>
      </c>
      <c r="B1205" s="6" t="inlineStr">
        <is>
          <t>Capital increased in current year</t>
        </is>
      </c>
      <c r="C1205" s="6" t="inlineStr">
        <is>
          <t>上年度的追加资本</t>
        </is>
      </c>
      <c r="D1205" s="6" t="inlineStr">
        <is>
          <t>上年度之追加資本</t>
        </is>
      </c>
    </row>
    <row r="1206" ht="27.6" customFormat="1" customHeight="1" s="8">
      <c r="A1206" s="6" t="inlineStr">
        <is>
          <t>Tăng, giảm các khoản phải thu</t>
        </is>
      </c>
      <c r="B1206" s="6" t="inlineStr">
        <is>
          <t>Increase, decrease in accounts receivable</t>
        </is>
      </c>
      <c r="C1206" s="6" t="inlineStr">
        <is>
          <t>应收帐款增加或减少</t>
        </is>
      </c>
      <c r="D1206" s="6" t="inlineStr">
        <is>
          <t>應收帳款增加或減少</t>
        </is>
      </c>
    </row>
    <row r="1207" ht="27.6" customFormat="1" customHeight="1" s="8">
      <c r="A1207" s="6" t="inlineStr">
        <is>
          <t>Tăng, giảm các khoản phải trả</t>
        </is>
      </c>
      <c r="B1207" s="6" t="inlineStr">
        <is>
          <t>Increase, decrease in accounts payable</t>
        </is>
      </c>
      <c r="C1207" s="6" t="inlineStr">
        <is>
          <t>应付帐款增加或减少</t>
        </is>
      </c>
      <c r="D1207" s="6" t="inlineStr">
        <is>
          <t>應付帳款增加或減少</t>
        </is>
      </c>
    </row>
    <row r="1208" ht="27.6" customFormat="1" customHeight="1" s="8">
      <c r="A1208" s="6" t="inlineStr">
        <is>
          <t>Tăng, giảm chi phí trả trước</t>
        </is>
      </c>
      <c r="B1208" s="6" t="inlineStr">
        <is>
          <t>Increase, decrease in prepaid expenses</t>
        </is>
      </c>
      <c r="C1208" s="6" t="inlineStr">
        <is>
          <t>预付费用增加或减少</t>
        </is>
      </c>
      <c r="D1208" s="6" t="inlineStr">
        <is>
          <t>預付費用增加或減少</t>
        </is>
      </c>
    </row>
    <row r="1209" ht="27.6" customFormat="1" customHeight="1" s="8">
      <c r="A1209" s="6" t="inlineStr">
        <is>
          <t>Tăng, giảm chứng khoán kinh doanh</t>
        </is>
      </c>
      <c r="B1209" s="6" t="inlineStr">
        <is>
          <t>Increase, decrease in trading securities</t>
        </is>
      </c>
      <c r="C1209" s="6" t="inlineStr">
        <is>
          <t>交易性证券增加或减少</t>
        </is>
      </c>
      <c r="D1209" s="6" t="inlineStr">
        <is>
          <t>交易性證券增加或減少</t>
        </is>
      </c>
    </row>
    <row r="1210" ht="27.6" customFormat="1" customHeight="1" s="8">
      <c r="A1210" s="6" t="inlineStr">
        <is>
          <t>Tăng, giảm hàng tồn kho</t>
        </is>
      </c>
      <c r="B1210" s="6" t="inlineStr">
        <is>
          <t>Increase, decrease in inventories</t>
        </is>
      </c>
      <c r="C1210" s="6" t="inlineStr">
        <is>
          <t>存货增加或减少</t>
        </is>
      </c>
      <c r="D1210" s="6" t="inlineStr">
        <is>
          <t>存貨增加或減少</t>
        </is>
      </c>
    </row>
    <row r="1211" ht="69" customFormat="1" customHeight="1" s="8">
      <c r="A1211" s="6" t="inlineStr">
        <is>
          <t>Tăng, giảm số dự phòng giảm giá chứng khoán kinh doanh tại ngày kết thúc năm tài chính được ghi nhận vào chi phí tài chính.</t>
        </is>
      </c>
      <c r="B1211" s="6" t="inlineStr">
        <is>
          <t>Increase, decrease in provision for decline in value of trading securities at the end of the fiscal year is recognized into the financial expenses.</t>
        </is>
      </c>
      <c r="C1211" s="6" t="inlineStr">
        <is>
          <t>于财务年度结束日，交易性证券跌价损失准备增加或减少金额应列入财务费用。</t>
        </is>
      </c>
      <c r="D1211" s="6" t="inlineStr">
        <is>
          <t>於財務年度結束日，交易性證券跌價損失準備增加或減少金額應列入財務費用。</t>
        </is>
      </c>
    </row>
    <row r="1212" ht="82.8" customFormat="1" customHeight="1" s="8">
      <c r="A1212" s="6" t="inlineStr">
        <is>
          <t>Tăng, giảm số dự phòng tổn thất đầu tư vào công cụ vốn của đơn vị khác cần phải trích lập tại ngày kết thúc năm tài chính được ghi nhận vào chi phí tài chính.</t>
        </is>
      </c>
      <c r="B1212" s="6" t="inlineStr">
        <is>
          <t>Increase, decrease in provision for impairment of investments in equity instruments of other units at the end of the fiscal year is recognized into the financial expenses.</t>
        </is>
      </c>
      <c r="C1212" s="6" t="inlineStr">
        <is>
          <t>于财务年度结束日，投资其他单位的权益工具的投资损失准备增加或减少金额应列入财务费用。</t>
        </is>
      </c>
      <c r="D1212" s="6" t="inlineStr">
        <is>
          <t>於財務年度結束日，投資其他單位的權益工具之投資損失準備增加或減少金額應列入財務費用。</t>
        </is>
      </c>
    </row>
    <row r="1213" ht="69" customFormat="1" customHeight="1" s="8">
      <c r="A1213" s="6" t="inlineStr">
        <is>
          <t>Tăng, giảm số dự phòng tổn thất đầu tư vào công ty con tại ngày kết thúc năm tài chính được ghi nhận vào chi phí tài chính.</t>
        </is>
      </c>
      <c r="B1213" s="6" t="inlineStr">
        <is>
          <t>Increase, decrease in provision for impairment of investments in subsidiaries at the end of the fiscal year is recognized into the financial expenses.</t>
        </is>
      </c>
      <c r="C1213" s="6" t="inlineStr">
        <is>
          <t>于财务年度结束日，投资子公司的投资损失准备增加或减少金额应列入财务费用。</t>
        </is>
      </c>
      <c r="D1213" s="6" t="inlineStr">
        <is>
          <t>於財務年度結束日，投資子公司之投資損失準備增加或減少金額應列入財務費用。</t>
        </is>
      </c>
    </row>
    <row r="1214" ht="82.8" customFormat="1" customHeight="1" s="8">
      <c r="A1214" s="6" t="inlineStr">
        <is>
          <t>Tăng, giảm số dự phòng tổn thất đầu tư vào công ty con, công ty liên doanh, liên kết tại ngày kết thúc năm tài chính được ghi nhận vào chi phí tài chính.</t>
        </is>
      </c>
      <c r="B1214" s="6" t="inlineStr">
        <is>
          <t>Increase, decrease in provision for impairment of investments in subsidiaries, joint ventures, associates at the end of the fiscal year is recognized into the financial expenses.</t>
        </is>
      </c>
      <c r="C1214" s="6" t="inlineStr">
        <is>
          <t>于财务年度结束日，投资子公司或投资关联企业及合资的投资损失准备增加或减少金额应列入财务费用。</t>
        </is>
      </c>
      <c r="D1214" s="6" t="inlineStr">
        <is>
          <t>於財務年度結束日，投資子公司或投資關聯企業及合資之投資損失準備增加或減少金額應列入財務費用。</t>
        </is>
      </c>
    </row>
    <row r="1215" ht="82.8" customFormat="1" customHeight="1" s="8">
      <c r="A1215" s="6" t="inlineStr">
        <is>
          <t>Tăng, giảm số dự phòng tổn thất đầu tư vào công ty con, công ty liên doanh, liên kết tại ngày kết thúc năm tài chính toán được ghi nhận vào chi phí tài chính.</t>
        </is>
      </c>
      <c r="B1215" s="6" t="inlineStr">
        <is>
          <t>Increase, decrease in provision for impairment of investments in subsidiaries, joint ventures, associates at the end of the fiscal year is recognized into the financial expenses.</t>
        </is>
      </c>
      <c r="C1215" s="6" t="inlineStr">
        <is>
          <t>于财务年度结束日，投资子公司或投资关联企业及合资的投资损失准备增加或减少金额应列入财务费用。</t>
        </is>
      </c>
      <c r="D1215" s="6" t="inlineStr">
        <is>
          <t>於財務年度結束日，投資子公司或投資關聯企業及合資之投資損失準備增加或減少金額應列入財務費用。</t>
        </is>
      </c>
    </row>
    <row r="1216" ht="69" customFormat="1" customHeight="1" s="8">
      <c r="A1216" s="6" t="inlineStr">
        <is>
          <t>Tất cả các khoản chênh lệch tỷ giá hối đoái phát sinh từ các nghiệp vụ trên được phản ánh trên Báo cáo kết quả hoạt động kinh doanh.</t>
        </is>
      </c>
      <c r="B1216" s="6" t="inlineStr">
        <is>
          <t>Foreign exchange differences derived from the above transactions are all disclosed in the Income statement.</t>
        </is>
      </c>
      <c r="C1216" s="6" t="inlineStr">
        <is>
          <t>上述交易中所产生的汇兑差异列示在利润表中。</t>
        </is>
      </c>
      <c r="D1216" s="6" t="inlineStr">
        <is>
          <t>上述交易中所產生的匯兌差異列示於損益表中。</t>
        </is>
      </c>
    </row>
    <row r="1217" customFormat="1" s="8">
      <c r="A1217" s="6" t="inlineStr">
        <is>
          <t>tháng</t>
        </is>
      </c>
      <c r="B1217" s="6" t="inlineStr">
        <is>
          <t>months</t>
        </is>
      </c>
      <c r="C1217" s="6" t="inlineStr">
        <is>
          <t xml:space="preserve">个月 </t>
        </is>
      </c>
      <c r="D1217" s="6" t="inlineStr">
        <is>
          <t>個月</t>
        </is>
      </c>
    </row>
    <row r="1218" customFormat="1" s="8">
      <c r="A1218" s="6" t="inlineStr">
        <is>
          <t>Tháng</t>
        </is>
      </c>
      <c r="B1218" s="6" t="inlineStr">
        <is>
          <t>Months</t>
        </is>
      </c>
      <c r="C1218" s="6" t="inlineStr">
        <is>
          <t xml:space="preserve">个月 </t>
        </is>
      </c>
      <c r="D1218" s="6" t="inlineStr">
        <is>
          <t>個月</t>
        </is>
      </c>
    </row>
    <row r="1219" customFormat="1" s="8">
      <c r="A1219" s="6" t="inlineStr">
        <is>
          <t>Thặng dư vốn cổ phần</t>
        </is>
      </c>
      <c r="B1219" s="6" t="inlineStr">
        <is>
          <t>Share premium</t>
        </is>
      </c>
      <c r="C1219" s="6" t="inlineStr">
        <is>
          <t>资本（股本）溢价</t>
        </is>
      </c>
      <c r="D1219" s="6" t="inlineStr">
        <is>
          <t>資本（股本）溢價</t>
        </is>
      </c>
    </row>
    <row r="1220" customFormat="1" s="8">
      <c r="A1220" s="6" t="inlineStr">
        <is>
          <t>Thành lập tại</t>
        </is>
      </c>
      <c r="B1220" s="6" t="inlineStr">
        <is>
          <t>Incorporated in</t>
        </is>
      </c>
      <c r="C1220" s="6" t="inlineStr">
        <is>
          <t>成立于</t>
        </is>
      </c>
      <c r="D1220" s="6" t="inlineStr">
        <is>
          <t>成立於</t>
        </is>
      </c>
    </row>
    <row r="1221" ht="27.6" customFormat="1" customHeight="1" s="8">
      <c r="A1221" s="6" t="inlineStr">
        <is>
          <t>Thành lập tại Brunei Darussalam</t>
        </is>
      </c>
      <c r="B1221" s="6" t="inlineStr">
        <is>
          <t>Incorporated in Brunei Darussalam</t>
        </is>
      </c>
      <c r="C1221" s="6" t="inlineStr">
        <is>
          <t>在Brunei Darussalam成立</t>
        </is>
      </c>
      <c r="D1221" s="6" t="inlineStr">
        <is>
          <t>在Brunei Darussalam成立</t>
        </is>
      </c>
    </row>
    <row r="1222" customFormat="1" s="8">
      <c r="A1222" s="6" t="inlineStr">
        <is>
          <t>Thành lập tại Đài Loan</t>
        </is>
      </c>
      <c r="B1222" s="6" t="inlineStr">
        <is>
          <t>Incorporated in Taiwan</t>
        </is>
      </c>
      <c r="C1222" s="6" t="inlineStr">
        <is>
          <t>在台湾成立</t>
        </is>
      </c>
      <c r="D1222" s="6" t="inlineStr">
        <is>
          <t>在台灣成立</t>
        </is>
      </c>
    </row>
    <row r="1223" customFormat="1" s="8">
      <c r="A1223" s="6" t="inlineStr">
        <is>
          <t>Thành lập tại Hàn Quốc</t>
        </is>
      </c>
      <c r="B1223" s="6" t="inlineStr">
        <is>
          <t>Incorporated in Korea</t>
        </is>
      </c>
      <c r="C1223" s="6" t="inlineStr">
        <is>
          <t>在韩国成立</t>
        </is>
      </c>
      <c r="D1223" s="6" t="inlineStr">
        <is>
          <t>在韓國成立</t>
        </is>
      </c>
    </row>
    <row r="1224" customFormat="1" s="8">
      <c r="A1224" s="6" t="inlineStr">
        <is>
          <t>Thành lập tại Malaysia</t>
        </is>
      </c>
      <c r="B1224" s="6" t="inlineStr">
        <is>
          <t>Incorporated in Malaysia</t>
        </is>
      </c>
      <c r="C1224" s="6" t="inlineStr">
        <is>
          <t>在马来西亚成立</t>
        </is>
      </c>
      <c r="D1224" s="6" t="inlineStr">
        <is>
          <t>在馬來西亞成立</t>
        </is>
      </c>
    </row>
    <row r="1225" customFormat="1" s="8">
      <c r="A1225" s="6" t="inlineStr">
        <is>
          <t>Thành lập tại Mỹ</t>
        </is>
      </c>
      <c r="B1225" s="6" t="inlineStr">
        <is>
          <t>Incorporated in the USA</t>
        </is>
      </c>
      <c r="C1225" s="6" t="inlineStr">
        <is>
          <t>在美国成立</t>
        </is>
      </c>
      <c r="D1225" s="6" t="inlineStr">
        <is>
          <t>在美國成立</t>
        </is>
      </c>
    </row>
    <row r="1226" customFormat="1" s="8">
      <c r="A1226" s="6" t="inlineStr">
        <is>
          <t>Thành lập tại Nhật Bản</t>
        </is>
      </c>
      <c r="B1226" s="6" t="inlineStr">
        <is>
          <t>Incorporated in Japan</t>
        </is>
      </c>
      <c r="C1226" s="6" t="inlineStr">
        <is>
          <t>在日本成立</t>
        </is>
      </c>
      <c r="D1226" s="6" t="inlineStr">
        <is>
          <t>在日本成立</t>
        </is>
      </c>
    </row>
    <row r="1227" customFormat="1" s="8">
      <c r="A1227" s="6" t="inlineStr">
        <is>
          <t>Thành lập tại Singapore</t>
        </is>
      </c>
      <c r="B1227" s="6" t="inlineStr">
        <is>
          <t>Incorporated in Singapore</t>
        </is>
      </c>
      <c r="C1227" s="6" t="inlineStr">
        <is>
          <t>在新加坡成立</t>
        </is>
      </c>
      <c r="D1227" s="6" t="inlineStr">
        <is>
          <t>在新加坡成立</t>
        </is>
      </c>
    </row>
    <row r="1228" customFormat="1" s="8">
      <c r="A1228" s="6" t="inlineStr">
        <is>
          <t>Thành lập tại Trung Quốc</t>
        </is>
      </c>
      <c r="B1228" s="6" t="inlineStr">
        <is>
          <t>Incorporated in China</t>
        </is>
      </c>
      <c r="C1228" s="6" t="inlineStr">
        <is>
          <t>在中国成立</t>
        </is>
      </c>
      <c r="D1228" s="6" t="inlineStr">
        <is>
          <t>在中國成立</t>
        </is>
      </c>
    </row>
    <row r="1229" ht="27.6" customFormat="1" customHeight="1" s="8">
      <c r="A1229" s="6" t="inlineStr">
        <is>
          <t>Thành lập tại Trung Quốc (Đài Loan)</t>
        </is>
      </c>
      <c r="B1229" s="6" t="inlineStr">
        <is>
          <t>Incorporated in China (Taiwan)</t>
        </is>
      </c>
      <c r="C1229" s="6" t="inlineStr">
        <is>
          <t>在中华民国成立</t>
        </is>
      </c>
      <c r="D1229" s="6" t="inlineStr">
        <is>
          <t>在中華民國成立</t>
        </is>
      </c>
    </row>
    <row r="1230" customFormat="1" s="8">
      <c r="A1230" s="6" t="inlineStr">
        <is>
          <t>Thành lập tại Việt Nam</t>
        </is>
      </c>
      <c r="B1230" s="6" t="inlineStr">
        <is>
          <t>Incorporated in Vietnam</t>
        </is>
      </c>
      <c r="C1230" s="6" t="inlineStr">
        <is>
          <t>在越南成立</t>
        </is>
      </c>
      <c r="D1230" s="6" t="inlineStr">
        <is>
          <t>於越南成立</t>
        </is>
      </c>
    </row>
    <row r="1231" customFormat="1" s="8">
      <c r="A1231" s="6" t="inlineStr">
        <is>
          <t>Thanh lý</t>
        </is>
      </c>
      <c r="B1231" s="6" t="inlineStr">
        <is>
          <t>Disposal</t>
        </is>
      </c>
      <c r="C1231" s="6" t="inlineStr">
        <is>
          <t>处置</t>
        </is>
      </c>
      <c r="D1231" s="6" t="inlineStr">
        <is>
          <t>處分-chọn-處置</t>
        </is>
      </c>
    </row>
    <row r="1232" customFormat="1" s="8">
      <c r="A1232" s="6" t="inlineStr">
        <is>
          <t>Thanh lý, nhượng bán</t>
        </is>
      </c>
      <c r="B1232" s="6" t="inlineStr">
        <is>
          <t>Disposal, transfer</t>
        </is>
      </c>
      <c r="C1232" s="6" t="inlineStr">
        <is>
          <t>处置、出售或转让</t>
        </is>
      </c>
      <c r="D1232" s="6" t="inlineStr">
        <is>
          <t>處分、出售或轉讓</t>
        </is>
      </c>
    </row>
    <row r="1233" customFormat="1" s="8">
      <c r="A1233" s="6" t="inlineStr">
        <is>
          <t>Thành phẩm</t>
        </is>
      </c>
      <c r="B1233" s="6" t="inlineStr">
        <is>
          <t>Finished goods</t>
        </is>
      </c>
      <c r="C1233" s="6" t="inlineStr">
        <is>
          <t>制成品</t>
        </is>
      </c>
      <c r="D1233" s="6" t="inlineStr">
        <is>
          <t>製成品</t>
        </is>
      </c>
    </row>
    <row r="1234" customFormat="1" s="8">
      <c r="A1234" s="6" t="inlineStr">
        <is>
          <t>Thành phẩm gia công</t>
        </is>
      </c>
      <c r="B1234" s="6" t="inlineStr">
        <is>
          <t>Finished processed goods</t>
        </is>
      </c>
      <c r="C1234" s="6" t="inlineStr">
        <is>
          <t>加工成品</t>
        </is>
      </c>
      <c r="D1234" s="6" t="inlineStr">
        <is>
          <t>加工成品</t>
        </is>
      </c>
    </row>
    <row r="1235" customFormat="1" s="8">
      <c r="A1235" s="6" t="inlineStr">
        <is>
          <t>Thành phẩm sản xuất</t>
        </is>
      </c>
      <c r="B1235" s="6" t="inlineStr">
        <is>
          <t>Finished manufactured goods</t>
        </is>
      </c>
      <c r="C1235" s="6" t="inlineStr">
        <is>
          <t>产出成品</t>
        </is>
      </c>
      <c r="D1235" s="6" t="inlineStr">
        <is>
          <t>產出成品</t>
        </is>
      </c>
    </row>
    <row r="1236" ht="27.6" customFormat="1" customHeight="1" s="8">
      <c r="A1236" s="6" t="inlineStr">
        <is>
          <t>Thành phần của tài sản thuế thu nhập hoãn lại bao gồm</t>
        </is>
      </c>
      <c r="B1236" s="6" t="inlineStr">
        <is>
          <t>The components of deferred income tax assets comprise</t>
        </is>
      </c>
      <c r="C1236" s="6" t="inlineStr">
        <is>
          <t>递延所得税资产构成部分如下：</t>
        </is>
      </c>
      <c r="D1236" s="6" t="inlineStr">
        <is>
          <t>遞延所得稅資產構成部分如下：</t>
        </is>
      </c>
    </row>
    <row r="1237" ht="27.6" customFormat="1" customHeight="1" s="8">
      <c r="A1237" s="6" t="inlineStr">
        <is>
          <t>Thành phần của thuế thu nhập hoãn lại phải trả bao gồm:</t>
        </is>
      </c>
      <c r="B1237" s="6" t="inlineStr">
        <is>
          <t>The components of deferred income tax liabilities comprise:</t>
        </is>
      </c>
      <c r="C1237" s="6" t="inlineStr">
        <is>
          <t>递延所得税负债的组成包括：</t>
        </is>
      </c>
      <c r="D1237" s="6" t="inlineStr">
        <is>
          <t>遞延所得稅負債的組成包括：</t>
        </is>
      </c>
    </row>
    <row r="1238" ht="27.6" customFormat="1" customHeight="1" s="8">
      <c r="A1238" s="6" t="inlineStr">
        <is>
          <t>Thanh toán mua nguyên vật liệu</t>
        </is>
      </c>
      <c r="B1238" s="6" t="inlineStr">
        <is>
          <t>Payments to purchase raw materials</t>
        </is>
      </c>
      <c r="C1238" s="6" t="inlineStr">
        <is>
          <t>支付外购材料款项</t>
        </is>
      </c>
      <c r="D1238" s="6" t="inlineStr">
        <is>
          <t>支付外購材料款項</t>
        </is>
      </c>
    </row>
    <row r="1239" customFormat="1" s="8">
      <c r="A1239" s="6" t="inlineStr">
        <is>
          <t>Thanh toán tạm ứng</t>
        </is>
      </c>
      <c r="B1239" s="6" t="inlineStr">
        <is>
          <t xml:space="preserve">Repayment of advances </t>
        </is>
      </c>
      <c r="C1239" s="6" t="inlineStr">
        <is>
          <t>暂借款报销</t>
        </is>
      </c>
      <c r="D1239" s="6" t="inlineStr">
        <is>
          <t>暫借款報銷</t>
        </is>
      </c>
    </row>
    <row r="1240" customFormat="1" s="8">
      <c r="A1240" s="6" t="inlineStr">
        <is>
          <t>Thành viên</t>
        </is>
      </c>
      <c r="B1240" s="6" t="inlineStr">
        <is>
          <t>Member</t>
        </is>
      </c>
      <c r="C1240" s="6" t="inlineStr">
        <is>
          <t>成员</t>
        </is>
      </c>
      <c r="D1240" s="6" t="inlineStr">
        <is>
          <t>成員</t>
        </is>
      </c>
    </row>
    <row r="1241" customFormat="1" s="8">
      <c r="A1241" s="6" t="inlineStr">
        <is>
          <t>Thành viên Hội đồng Quản trị</t>
        </is>
      </c>
      <c r="B1241" s="6" t="inlineStr">
        <is>
          <t>Member of Board of Directors</t>
        </is>
      </c>
      <c r="C1241" s="6" t="inlineStr">
        <is>
          <t>董事会成员</t>
        </is>
      </c>
      <c r="D1241" s="6" t="inlineStr">
        <is>
          <t>董事會成員</t>
        </is>
      </c>
    </row>
    <row r="1242" customFormat="1" s="8">
      <c r="A1242" s="6" t="inlineStr">
        <is>
          <t>Thay mặt và đại diện cho</t>
        </is>
      </c>
      <c r="B1242" s="6" t="inlineStr">
        <is>
          <t>For and on behalf of</t>
        </is>
      </c>
      <c r="C1242" s="6" t="inlineStr">
        <is>
          <t>代表人</t>
        </is>
      </c>
      <c r="D1242" s="6" t="inlineStr">
        <is>
          <t>代表人</t>
        </is>
      </c>
    </row>
    <row r="1243" ht="27.6" customFormat="1" customHeight="1" s="8">
      <c r="A1243" s="6" t="inlineStr">
        <is>
          <t>Thay mặt và đại diện cho Ban Giám đốc,</t>
        </is>
      </c>
      <c r="B1243" s="6" t="inlineStr">
        <is>
          <t>For and on behalf of the Board of Management,</t>
        </is>
      </c>
      <c r="C1243" s="6" t="inlineStr">
        <is>
          <t>管理阶层代表，</t>
        </is>
      </c>
      <c r="D1243" s="6" t="inlineStr">
        <is>
          <t>管理階層代表，</t>
        </is>
      </c>
    </row>
    <row r="1244" ht="27.6" customFormat="1" customHeight="1" s="8">
      <c r="A1244" s="6" t="inlineStr">
        <is>
          <t>Thay mặt và đại diện cho Ban Tổng Giám đốc,</t>
        </is>
      </c>
      <c r="B1244" s="6" t="inlineStr">
        <is>
          <t>For and on behalf of the Board of General Directors,</t>
        </is>
      </c>
      <c r="C1244" s="6" t="inlineStr">
        <is>
          <t>管理阶层代表，</t>
        </is>
      </c>
      <c r="D1244" s="6" t="inlineStr">
        <is>
          <t>管理階層代表，</t>
        </is>
      </c>
    </row>
    <row r="1245" ht="27.6" customFormat="1" customHeight="1" s="8">
      <c r="A1245" s="6" t="inlineStr">
        <is>
          <t>Thay mặt và đại diện cho Công ty,</t>
        </is>
      </c>
      <c r="B1245" s="6" t="inlineStr">
        <is>
          <t>For and on behalf of the Company,</t>
        </is>
      </c>
      <c r="C1245" s="6" t="inlineStr">
        <is>
          <t>公司代表</t>
        </is>
      </c>
      <c r="D1245" s="6" t="inlineStr">
        <is>
          <t>公司代表</t>
        </is>
      </c>
    </row>
    <row r="1246" ht="27.6" customFormat="1" customHeight="1" s="8">
      <c r="A1246" s="6" t="inlineStr">
        <is>
          <t>Thay mặt và đại diện cho Hội đồng Quản trị,</t>
        </is>
      </c>
      <c r="B1246" s="6" t="inlineStr">
        <is>
          <t>For and on behalf of the Board of Directors,</t>
        </is>
      </c>
      <c r="C1246" s="6" t="inlineStr">
        <is>
          <t>董事会代表</t>
        </is>
      </c>
      <c r="D1246" s="6" t="inlineStr">
        <is>
          <t>董事會代表</t>
        </is>
      </c>
    </row>
    <row r="1247" ht="27.6" customFormat="1" customHeight="1" s="8">
      <c r="A1247" s="6" t="inlineStr">
        <is>
          <t>Thay mặt và đại diện cho Hội đồng Thành viên,</t>
        </is>
      </c>
      <c r="B1247" s="6" t="inlineStr">
        <is>
          <t>For and on behalf of the Board of Members,</t>
        </is>
      </c>
      <c r="C1247" s="6" t="inlineStr">
        <is>
          <t>董事会代表，</t>
        </is>
      </c>
      <c r="D1247" s="6" t="inlineStr">
        <is>
          <t>董事會代表，</t>
        </is>
      </c>
    </row>
    <row r="1248" customFormat="1" s="8">
      <c r="A1248" s="6" t="inlineStr">
        <is>
          <t>Theo báo cáo  năm trước</t>
        </is>
      </c>
      <c r="B1248" s="6" t="inlineStr">
        <is>
          <t>Prior year’s statements</t>
        </is>
      </c>
      <c r="C1248" s="6" t="inlineStr">
        <is>
          <t>去年已陈述</t>
        </is>
      </c>
      <c r="D1248" s="6" t="inlineStr">
        <is>
          <t>去年已陳述</t>
        </is>
      </c>
    </row>
    <row r="1249" customFormat="1" s="8">
      <c r="A1249" s="6" t="inlineStr">
        <is>
          <t>Theo báo cáo năm trước</t>
        </is>
      </c>
      <c r="B1249" s="6" t="inlineStr">
        <is>
          <t>Prior year’s statements</t>
        </is>
      </c>
      <c r="C1249" s="6" t="inlineStr">
        <is>
          <t>去年已陈述</t>
        </is>
      </c>
      <c r="D1249" s="6" t="inlineStr">
        <is>
          <t>去年已陳述</t>
        </is>
      </c>
    </row>
    <row r="1250" ht="27.6" customFormat="1" customHeight="1" s="8">
      <c r="A1250" s="6" t="inlineStr">
        <is>
          <t>Theo biên bản họp</t>
        </is>
      </c>
      <c r="B1250" s="6" t="inlineStr">
        <is>
          <t>Per Minutes of Meeting-chọn-As per decision</t>
        </is>
      </c>
      <c r="C1250" s="6" t="inlineStr">
        <is>
          <t>根据会议记录</t>
        </is>
      </c>
      <c r="D1250" s="6" t="inlineStr">
        <is>
          <t>根據會議記錄</t>
        </is>
      </c>
    </row>
    <row r="1251" ht="27.6" customFormat="1" customHeight="1" s="8">
      <c r="A1251" s="6" t="inlineStr">
        <is>
          <t>Theo giấy chứng nhận đăng ký đầu tư</t>
        </is>
      </c>
      <c r="B1251" s="6" t="inlineStr">
        <is>
          <t>Per investment registration certificate</t>
        </is>
      </c>
      <c r="C1251" s="6" t="inlineStr">
        <is>
          <t>根据投资登记证书</t>
        </is>
      </c>
      <c r="D1251" s="6" t="inlineStr">
        <is>
          <t>根據投資登記證書</t>
        </is>
      </c>
    </row>
    <row r="1252" ht="27.6" customFormat="1" customHeight="1" s="8">
      <c r="A1252" s="6" t="inlineStr">
        <is>
          <t>Theo giấy chứng nhận đăng ký đầu tư và</t>
        </is>
      </c>
      <c r="B1252" s="6" t="inlineStr">
        <is>
          <t>Per investment registration certificate and</t>
        </is>
      </c>
      <c r="C1252" s="6" t="inlineStr">
        <is>
          <t>依据投资登记证书和</t>
        </is>
      </c>
      <c r="D1252" s="6" t="inlineStr">
        <is>
          <t>依據投資登記證書及</t>
        </is>
      </c>
    </row>
    <row r="1253" ht="55.2" customFormat="1" customHeight="1" s="8">
      <c r="A1253" s="6" t="inlineStr">
        <is>
          <t>Theo giấy chứng nhận đăng ký đầu tư và 
giấy chứng nhận đăng ký doanh nghiệp</t>
        </is>
      </c>
      <c r="B1253" s="6" t="inlineStr">
        <is>
          <t>Per investment registration certificate and enterprise registration certificate</t>
        </is>
      </c>
      <c r="C1253" s="6" t="inlineStr">
        <is>
          <t>根据投资登记证书和企业登记证书</t>
        </is>
      </c>
      <c r="D1253" s="6" t="inlineStr">
        <is>
          <t>根據投資登記證書及企業登記證書</t>
        </is>
      </c>
    </row>
    <row r="1254" ht="41.4" customFormat="1" customHeight="1" s="8">
      <c r="A1254" s="6" t="inlineStr">
        <is>
          <t>Theo giấy chứng nhận đăng ký đầu tư và giấy chứng nhận đăng ký doanh nghiệp</t>
        </is>
      </c>
      <c r="B1254" s="6" t="inlineStr">
        <is>
          <t>Per investment registration certificate and enterprise registration certificate</t>
        </is>
      </c>
      <c r="C1254" s="6" t="inlineStr">
        <is>
          <t>根据投资登记证书和企业登记证书</t>
        </is>
      </c>
      <c r="D1254" s="6" t="inlineStr">
        <is>
          <t>根據投資登記證書及企業登記證書</t>
        </is>
      </c>
    </row>
    <row r="1255" ht="27.6" customFormat="1" customHeight="1" s="8">
      <c r="A1255" s="6" t="inlineStr">
        <is>
          <t>Theo giấy chứng nhận đăng ký doanh nghiệp</t>
        </is>
      </c>
      <c r="B1255" s="6" t="inlineStr">
        <is>
          <t>Per enterprise registration certificate</t>
        </is>
      </c>
      <c r="C1255" s="6" t="inlineStr">
        <is>
          <t>根据企业登记证书</t>
        </is>
      </c>
      <c r="D1255" s="6" t="inlineStr">
        <is>
          <t>根據企業登記證書</t>
        </is>
      </c>
    </row>
    <row r="1256" customFormat="1" s="8">
      <c r="A1256" s="6" t="inlineStr">
        <is>
          <t>Theo từng giấy nhận nợ</t>
        </is>
      </c>
      <c r="B1256" s="6" t="inlineStr">
        <is>
          <t>As per each promissory note</t>
        </is>
      </c>
      <c r="C1256" s="6" t="inlineStr">
        <is>
          <t>融通票据时点</t>
        </is>
      </c>
      <c r="D1256" s="6" t="inlineStr">
        <is>
          <t>融通票據時點</t>
        </is>
      </c>
    </row>
    <row r="1257" customFormat="1" s="8">
      <c r="A1257" s="6" t="inlineStr">
        <is>
          <t>Theo từng thời điểm nhận nợ</t>
        </is>
      </c>
      <c r="B1257" s="6" t="inlineStr">
        <is>
          <t>As per each promissory note</t>
        </is>
      </c>
      <c r="C1257" s="6" t="inlineStr">
        <is>
          <t>融通票据时点</t>
        </is>
      </c>
      <c r="D1257" s="6" t="inlineStr">
        <is>
          <t>融通票據時點</t>
        </is>
      </c>
    </row>
    <row r="1258" ht="41.4" customFormat="1" customHeight="1" s="8">
      <c r="A1258" s="6" t="inlineStr">
        <is>
          <t>Thi công hệ thống điện, nén khí, nước cho máy in</t>
        </is>
      </c>
      <c r="B1258" s="6" t="inlineStr">
        <is>
          <t>Construction of electrical systems, compressed air, water for printer</t>
        </is>
      </c>
      <c r="C1258" s="6" t="inlineStr">
        <is>
          <t>供给印刷机电力系统建设、压缩空气，用水工程</t>
        </is>
      </c>
      <c r="D1258" s="6" t="inlineStr">
        <is>
          <t>供給印刷機電力系統建設、壓縮空氣、用水工程</t>
        </is>
      </c>
    </row>
    <row r="1259" customFormat="1" s="8">
      <c r="A1259" s="6" t="inlineStr">
        <is>
          <t>Thiết bị văn phòng</t>
        </is>
      </c>
      <c r="B1259" s="6" t="inlineStr">
        <is>
          <t>Office tools and supplies</t>
        </is>
      </c>
      <c r="C1259" s="6" t="inlineStr">
        <is>
          <t>办公工具及设备</t>
        </is>
      </c>
      <c r="D1259" s="6" t="inlineStr">
        <is>
          <t>辦公工具及設備</t>
        </is>
      </c>
    </row>
    <row r="1260" customFormat="1" s="8">
      <c r="A1260" s="6" t="inlineStr">
        <is>
          <t>Thiết bị, dụng cụ quản lý</t>
        </is>
      </c>
      <c r="B1260" s="6" t="inlineStr">
        <is>
          <t>Management tools and supplies</t>
        </is>
      </c>
      <c r="C1260" s="6" t="inlineStr">
        <is>
          <t>管理工具和用品</t>
        </is>
      </c>
      <c r="D1260" s="6" t="inlineStr">
        <is>
          <t>管理工具及用品</t>
        </is>
      </c>
    </row>
    <row r="1261" ht="27.6" customFormat="1" customHeight="1" s="8">
      <c r="A1261" s="6" t="inlineStr">
        <is>
          <t>Thiết bị, vật tư, phụ tùng thay thế dài hạn</t>
        </is>
      </c>
      <c r="B1261" s="6" t="inlineStr">
        <is>
          <t>Long-term equipment, supplies and spare parts</t>
        </is>
      </c>
      <c r="C1261" s="6" t="inlineStr">
        <is>
          <t>长期设备、物资和备用零配件</t>
        </is>
      </c>
      <c r="D1261" s="6" t="inlineStr">
        <is>
          <t>長期設備、物資和備用零配件</t>
        </is>
      </c>
    </row>
    <row r="1262" ht="41.4" customFormat="1" customHeight="1" s="8">
      <c r="A1262" s="6" t="inlineStr">
        <is>
          <t>Thời gian hữu dụng ước tính của các loại tài sản cụ thể như sau:</t>
        </is>
      </c>
      <c r="B1262" s="6" t="inlineStr">
        <is>
          <t>Their estimated useful lives are shown specifically as follows:</t>
        </is>
      </c>
      <c r="C1262" s="6" t="inlineStr">
        <is>
          <t>各类资产的估计耐用年限范围如下：</t>
        </is>
      </c>
      <c r="D1262" s="6" t="inlineStr">
        <is>
          <t>各類資產之估計耐用年限範圍如下：</t>
        </is>
      </c>
    </row>
    <row r="1263" customFormat="1" s="8">
      <c r="A1263" s="6" t="inlineStr">
        <is>
          <t>Thời hạn</t>
        </is>
      </c>
      <c r="B1263" s="6" t="inlineStr">
        <is>
          <t>Term</t>
        </is>
      </c>
      <c r="C1263" s="6" t="inlineStr">
        <is>
          <t>期限</t>
        </is>
      </c>
      <c r="D1263" s="6" t="inlineStr">
        <is>
          <t>期限</t>
        </is>
      </c>
    </row>
    <row r="1264" customFormat="1" s="8">
      <c r="A1264" s="6" t="inlineStr">
        <is>
          <t>Thời hạn hoàn trả</t>
        </is>
      </c>
      <c r="B1264" s="6" t="inlineStr">
        <is>
          <t>Repayment term</t>
        </is>
      </c>
      <c r="C1264" s="6" t="inlineStr">
        <is>
          <t>偿还期间</t>
        </is>
      </c>
      <c r="D1264" s="6" t="inlineStr">
        <is>
          <t>償還期間</t>
        </is>
      </c>
    </row>
    <row r="1265" customFormat="1" s="8">
      <c r="A1265" s="6" t="inlineStr">
        <is>
          <t>Thời hạn vay</t>
        </is>
      </c>
      <c r="B1265" s="6" t="inlineStr">
        <is>
          <t xml:space="preserve">Borrowing term </t>
        </is>
      </c>
      <c r="C1265" s="6" t="inlineStr">
        <is>
          <t>贷款期限</t>
        </is>
      </c>
      <c r="D1265" s="6" t="inlineStr">
        <is>
          <t>貸款期限</t>
        </is>
      </c>
    </row>
    <row r="1266" customFormat="1" s="8">
      <c r="A1266" s="6" t="inlineStr">
        <is>
          <t>Thông tin so sánh</t>
        </is>
      </c>
      <c r="B1266" s="6" t="inlineStr">
        <is>
          <t>Comparative figures</t>
        </is>
      </c>
      <c r="C1266" s="6" t="inlineStr">
        <is>
          <t>比较资讯</t>
        </is>
      </c>
      <c r="D1266" s="6" t="inlineStr">
        <is>
          <t>比較資訊</t>
        </is>
      </c>
    </row>
    <row r="1267" customFormat="1" s="8">
      <c r="A1267" s="6" t="inlineStr">
        <is>
          <t>Thư bảo lãnh</t>
        </is>
      </c>
      <c r="B1267" s="6" t="inlineStr">
        <is>
          <t>Letter of guarantee</t>
        </is>
      </c>
      <c r="C1267" s="6" t="inlineStr">
        <is>
          <t>担保函</t>
        </is>
      </c>
      <c r="D1267" s="6" t="inlineStr">
        <is>
          <t>擔保函</t>
        </is>
      </c>
    </row>
    <row r="1268" ht="27.6" customFormat="1" customHeight="1" s="8">
      <c r="A1268" s="6" t="inlineStr">
        <is>
          <t>Thu các khoản nợ khó đòi đã xử lý xóa sổ</t>
        </is>
      </c>
      <c r="B1268" s="6" t="inlineStr">
        <is>
          <t>Recovery of bad debts written off</t>
        </is>
      </c>
      <c r="C1268" s="6" t="inlineStr">
        <is>
          <t>收回已冲销坏帐</t>
        </is>
      </c>
      <c r="D1268" s="6" t="inlineStr">
        <is>
          <t>收回已沖銷壞帳</t>
        </is>
      </c>
    </row>
    <row r="1269" ht="27.6" customFormat="1" customHeight="1" s="8">
      <c r="A1269" s="6" t="inlineStr">
        <is>
          <t>Thu hộ</t>
        </is>
      </c>
      <c r="B1269" s="6" t="inlineStr">
        <is>
          <t>Collections on behalf of third parties</t>
        </is>
      </c>
      <c r="C1269" s="6" t="inlineStr">
        <is>
          <t>代收款</t>
        </is>
      </c>
      <c r="D1269" s="6" t="inlineStr">
        <is>
          <t>代收款</t>
        </is>
      </c>
    </row>
    <row r="1270" customFormat="1" s="8">
      <c r="A1270" s="6" t="inlineStr">
        <is>
          <t>Thu hoàn tạm ứng</t>
        </is>
      </c>
      <c r="B1270" s="6" t="inlineStr">
        <is>
          <t>Recovery of advance payment</t>
        </is>
      </c>
      <c r="C1270" s="6" t="inlineStr">
        <is>
          <t>收回暂借款</t>
        </is>
      </c>
      <c r="D1270" s="6" t="inlineStr">
        <is>
          <t>收回暫借款</t>
        </is>
      </c>
    </row>
    <row r="1271" ht="27.6" customFormat="1" customHeight="1" s="8">
      <c r="A1271" s="6" t="inlineStr">
        <is>
          <t>Thu hồi đầu tư vào công ty con</t>
        </is>
      </c>
      <c r="B1271" s="6" t="inlineStr">
        <is>
          <t>Collection on investment in subsidiaries</t>
        </is>
      </c>
      <c r="C1271" s="6" t="inlineStr">
        <is>
          <t>收回子公司投资款</t>
        </is>
      </c>
      <c r="D1271" s="6" t="inlineStr">
        <is>
          <t>收回子公司投資款</t>
        </is>
      </c>
    </row>
    <row r="1272" customFormat="1" s="8">
      <c r="A1272" s="6" t="inlineStr">
        <is>
          <t>Thu hồi tiền cho mượn</t>
        </is>
      </c>
      <c r="B1272" s="6" t="inlineStr">
        <is>
          <t>Recovery of loans</t>
        </is>
      </c>
      <c r="C1272" s="6" t="inlineStr">
        <is>
          <t>收回出借款</t>
        </is>
      </c>
      <c r="D1272" s="6" t="inlineStr">
        <is>
          <t>收回出借款</t>
        </is>
      </c>
    </row>
    <row r="1273" customFormat="1" s="8">
      <c r="A1273" s="6" t="inlineStr">
        <is>
          <t>Thu hồi tiền cho vay</t>
        </is>
      </c>
      <c r="B1273" s="6" t="inlineStr">
        <is>
          <t>Recovery of loans</t>
        </is>
      </c>
      <c r="C1273" s="6" t="inlineStr">
        <is>
          <t>收回出借款</t>
        </is>
      </c>
      <c r="D1273" s="6" t="inlineStr">
        <is>
          <t>收回出借款</t>
        </is>
      </c>
    </row>
    <row r="1274" ht="27.6" customFormat="1" customHeight="1" s="8">
      <c r="A1274" s="6" t="inlineStr">
        <is>
          <t>Thu lại tiền đã chi hộ</t>
        </is>
      </c>
      <c r="B1274" s="6" t="inlineStr">
        <is>
          <t>Recovery of on-behalf payments</t>
        </is>
      </c>
      <c r="C1274" s="6" t="inlineStr">
        <is>
          <t>收回代付款</t>
        </is>
      </c>
      <c r="D1274" s="6" t="inlineStr">
        <is>
          <t>收回代付款</t>
        </is>
      </c>
    </row>
    <row r="1275" customFormat="1" s="8">
      <c r="A1275" s="6" t="inlineStr">
        <is>
          <t>Thu lại tiền đã cho vay</t>
        </is>
      </c>
      <c r="B1275" s="6" t="inlineStr">
        <is>
          <t>Recovery of loans granted</t>
        </is>
      </c>
      <c r="C1275" s="6" t="inlineStr">
        <is>
          <t>收回出借款</t>
        </is>
      </c>
      <c r="D1275" s="6" t="inlineStr">
        <is>
          <t>收回出借款</t>
        </is>
      </c>
    </row>
    <row r="1276" customFormat="1" s="8">
      <c r="A1276" s="6" t="inlineStr">
        <is>
          <t>Thu nhập bán phế liệu</t>
        </is>
      </c>
      <c r="B1276" s="6" t="inlineStr">
        <is>
          <t>Proceeds from selling scraps</t>
        </is>
      </c>
      <c r="C1276" s="6" t="inlineStr">
        <is>
          <t>废料出售收入</t>
        </is>
      </c>
      <c r="D1276" s="6" t="inlineStr">
        <is>
          <t>廢料出售收入</t>
        </is>
      </c>
    </row>
    <row r="1277" customFormat="1" s="8">
      <c r="A1277" s="6" t="inlineStr">
        <is>
          <t>Thu nhập chịu thuế</t>
        </is>
      </c>
      <c r="B1277" s="6" t="inlineStr">
        <is>
          <t>Taxable income</t>
        </is>
      </c>
      <c r="C1277" s="6" t="inlineStr">
        <is>
          <t>应课税所得</t>
        </is>
      </c>
      <c r="D1277" s="6" t="inlineStr">
        <is>
          <t>應課稅所得</t>
        </is>
      </c>
    </row>
    <row r="1278" customFormat="1" s="8">
      <c r="A1278" s="6" t="inlineStr">
        <is>
          <t>Thu nhập được ưu đãi</t>
        </is>
      </c>
      <c r="B1278" s="6" t="inlineStr">
        <is>
          <t>Income eligible for incentives</t>
        </is>
      </c>
      <c r="C1278" s="6" t="inlineStr">
        <is>
          <t>可享受税收优惠所得</t>
        </is>
      </c>
      <c r="D1278" s="6" t="inlineStr">
        <is>
          <t>可享受稅收優惠所得</t>
        </is>
      </c>
    </row>
    <row r="1279" customFormat="1" s="8">
      <c r="A1279" s="6" t="inlineStr">
        <is>
          <t>Thu nhập khác</t>
        </is>
      </c>
      <c r="B1279" s="6" t="inlineStr">
        <is>
          <t>Other income</t>
        </is>
      </c>
      <c r="C1279" s="6" t="inlineStr">
        <is>
          <t>营业外收入</t>
        </is>
      </c>
      <c r="D1279" s="6" t="inlineStr">
        <is>
          <t>營業外收入</t>
        </is>
      </c>
    </row>
    <row r="1280" ht="27.6" customFormat="1" customHeight="1" s="8">
      <c r="A1280" s="6" t="inlineStr">
        <is>
          <t>Thu nhập khác không được ưu đãi</t>
        </is>
      </c>
      <c r="B1280" s="6" t="inlineStr">
        <is>
          <t>Other income not eligible for tax incentives</t>
        </is>
      </c>
      <c r="C1280" s="6" t="inlineStr">
        <is>
          <t>不可享受税收优惠的其他所得</t>
        </is>
      </c>
      <c r="D1280" s="6" t="inlineStr">
        <is>
          <t>不可享受稅收優惠的其他所得</t>
        </is>
      </c>
    </row>
    <row r="1281" customFormat="1" s="8">
      <c r="A1281" s="6" t="inlineStr">
        <is>
          <t>Thu nhập không chịu thuế</t>
        </is>
      </c>
      <c r="B1281" s="6" t="inlineStr">
        <is>
          <t>Non-taxable income</t>
        </is>
      </c>
      <c r="C1281" s="6" t="inlineStr">
        <is>
          <t>无课税所得</t>
        </is>
      </c>
      <c r="D1281" s="6" t="inlineStr">
        <is>
          <t>無課稅所得</t>
        </is>
      </c>
    </row>
    <row r="1282" ht="27.6" customFormat="1" customHeight="1" s="8">
      <c r="A1282" s="6" t="inlineStr">
        <is>
          <t>Thu nhập không được ưu đãi</t>
        </is>
      </c>
      <c r="B1282" s="6" t="inlineStr">
        <is>
          <t>Income not eligible for incentives</t>
        </is>
      </c>
      <c r="C1282" s="6" t="inlineStr">
        <is>
          <t>不可享受税收优惠所得</t>
        </is>
      </c>
      <c r="D1282" s="6" t="inlineStr">
        <is>
          <t>不可享受稅收優惠所得</t>
        </is>
      </c>
    </row>
    <row r="1283" customFormat="1" s="8">
      <c r="A1283" s="6" t="inlineStr">
        <is>
          <t>Thu nhập miễn thuế</t>
        </is>
      </c>
      <c r="B1283" s="6" t="inlineStr">
        <is>
          <t>Tax-exempt income</t>
        </is>
      </c>
      <c r="C1283" s="6" t="inlineStr">
        <is>
          <t>免税收入</t>
        </is>
      </c>
      <c r="D1283" s="6" t="inlineStr">
        <is>
          <t>免稅收入</t>
        </is>
      </c>
    </row>
    <row r="1284" ht="55.2" customFormat="1" customHeight="1" s="8">
      <c r="A1284" s="6" t="inlineStr">
        <is>
          <t>Thu nhập thuế thu nhập doanh nghiệp hoãn lại phát sinh từ các khoản chênh lệch tạm thời được khấu trừ</t>
        </is>
      </c>
      <c r="B1284" s="6" t="inlineStr">
        <is>
          <t>Deferred corporate income tax income arising from deductible temporary differences</t>
        </is>
      </c>
      <c r="C1284" s="6" t="inlineStr">
        <is>
          <t>可减除暂时性差异产生的递延所得税收益</t>
        </is>
      </c>
      <c r="D1284" s="6" t="inlineStr">
        <is>
          <t>可減除暫時性差異產生的遞延所得稅收益</t>
        </is>
      </c>
    </row>
    <row r="1285" ht="41.4" customFormat="1" customHeight="1" s="8">
      <c r="A1285" s="6" t="inlineStr">
        <is>
          <t>Thu nhập thuế thu nhập doanh nghiệp hoãn lại phát sinh từ các khoản lỗ tính thuế</t>
        </is>
      </c>
      <c r="B1285" s="6" t="inlineStr">
        <is>
          <t>Deferred corporate income tax income arising from tax losses</t>
        </is>
      </c>
      <c r="C1285" s="6" t="inlineStr">
        <is>
          <t>可结转亏损（亏损抵后）产生的递延所得税收益</t>
        </is>
      </c>
      <c r="D1285" s="6" t="inlineStr">
        <is>
          <t>可結轉虧損（虧損抵後）產生的遞延所得稅收益</t>
        </is>
      </c>
    </row>
    <row r="1286" ht="55.2" customFormat="1" customHeight="1" s="8">
      <c r="A1286" s="6" t="inlineStr">
        <is>
          <t>Thu nhập thuế thu nhập doanh nghiệp hoãn lại phát sinh từ việc hoàn nhập thuế thu nhập hoãn lại phải trả</t>
        </is>
      </c>
      <c r="B1286" s="6" t="inlineStr">
        <is>
          <t>Deferred corporate income tax income arising from reversal of deferred tax liabilities</t>
        </is>
      </c>
      <c r="C1286" s="6" t="inlineStr">
        <is>
          <t>递延所得税负债回转产生的递延所得税收益</t>
        </is>
      </c>
      <c r="D1286" s="6" t="inlineStr">
        <is>
          <t>遞延所得稅負債回轉產生的遞延所得稅收益</t>
        </is>
      </c>
    </row>
    <row r="1287" customFormat="1" s="8">
      <c r="A1287" s="6" t="inlineStr">
        <is>
          <t>Thu nhập tính thuế</t>
        </is>
      </c>
      <c r="B1287" s="6" t="inlineStr">
        <is>
          <t>Assessable income</t>
        </is>
      </c>
      <c r="C1287" s="6" t="inlineStr">
        <is>
          <t>应纳税所得</t>
        </is>
      </c>
      <c r="D1287" s="6" t="inlineStr">
        <is>
          <t>應納稅所得</t>
        </is>
      </c>
    </row>
    <row r="1288" ht="27.6" customFormat="1" customHeight="1" s="8">
      <c r="A1288" s="6" t="inlineStr">
        <is>
          <t>Thu nhập tính thuế được ưu đãi</t>
        </is>
      </c>
      <c r="B1288" s="6" t="inlineStr">
        <is>
          <t>Assessable income eligible for incentives</t>
        </is>
      </c>
      <c r="C1288" s="6" t="inlineStr">
        <is>
          <t>可享受税收优惠的应纳税所得</t>
        </is>
      </c>
      <c r="D1288" s="6" t="inlineStr">
        <is>
          <t>可享受稅收優惠的應納稅所得</t>
        </is>
      </c>
    </row>
    <row r="1289" ht="27.6" customFormat="1" customHeight="1" s="8">
      <c r="A1289" s="6" t="inlineStr">
        <is>
          <t>Thu nhập tính thuế không được ưu đãi</t>
        </is>
      </c>
      <c r="B1289" s="6" t="inlineStr">
        <is>
          <t>Assessable income not eligible for incentives</t>
        </is>
      </c>
      <c r="C1289" s="6" t="inlineStr">
        <is>
          <t>不可享受税收优惠的应纳税所得</t>
        </is>
      </c>
      <c r="D1289" s="6" t="inlineStr">
        <is>
          <t>不可享受稅收優惠的應納稅所得</t>
        </is>
      </c>
    </row>
    <row r="1290" customFormat="1" s="8">
      <c r="A1290" s="6" t="inlineStr">
        <is>
          <t>Thu nhập từ bán phế liệu</t>
        </is>
      </c>
      <c r="B1290" s="6" t="inlineStr">
        <is>
          <t>Proceeds from selling scraps</t>
        </is>
      </c>
      <c r="C1290" s="6" t="inlineStr">
        <is>
          <t>废料出售收入</t>
        </is>
      </c>
      <c r="D1290" s="6" t="inlineStr">
        <is>
          <t>廢料出售收入</t>
        </is>
      </c>
    </row>
    <row r="1291" ht="27.6" customFormat="1" customHeight="1" s="8">
      <c r="A1291" s="6" t="inlineStr">
        <is>
          <t>Thu nhập từ bán phế liệu công trình</t>
        </is>
      </c>
      <c r="B1291" s="6" t="inlineStr">
        <is>
          <t>Proceeds from selling construction scraps</t>
        </is>
      </c>
      <c r="C1291" s="6" t="inlineStr">
        <is>
          <t>工程废料出售收益</t>
        </is>
      </c>
      <c r="D1291" s="6" t="inlineStr">
        <is>
          <t>工程廢料出售收益</t>
        </is>
      </c>
    </row>
    <row r="1292" ht="27.6" customFormat="1" customHeight="1" s="8">
      <c r="A1292" s="6" t="inlineStr">
        <is>
          <t>Thu nhập từ chuyển nhượng dự án</t>
        </is>
      </c>
      <c r="B1292" s="6" t="inlineStr">
        <is>
          <t>Income from transfer of project</t>
        </is>
      </c>
      <c r="C1292" s="6" t="inlineStr">
        <is>
          <t>投资案转让所得</t>
        </is>
      </c>
      <c r="D1292" s="6" t="inlineStr">
        <is>
          <t>投資案轉讓所得</t>
        </is>
      </c>
    </row>
    <row r="1293" ht="27.6" customFormat="1" customHeight="1" s="8">
      <c r="A1293" s="6" t="inlineStr">
        <is>
          <t>Thu nhập từ dự án đầu tư ban đầu</t>
        </is>
      </c>
      <c r="B1293" s="6" t="inlineStr">
        <is>
          <t>Income from initial investment project</t>
        </is>
      </c>
      <c r="C1293" s="6" t="inlineStr">
        <is>
          <t>原始投资项目所得</t>
        </is>
      </c>
      <c r="D1293" s="6" t="inlineStr">
        <is>
          <t>原始投資項目所得</t>
        </is>
      </c>
    </row>
    <row r="1294" customFormat="1" s="8">
      <c r="A1294" s="6" t="inlineStr">
        <is>
          <t>Thu nhập từ hàng tặng</t>
        </is>
      </c>
      <c r="B1294" s="6" t="inlineStr">
        <is>
          <t>Proceeds from gift goods</t>
        </is>
      </c>
      <c r="C1294" s="6" t="inlineStr">
        <is>
          <t>受赠品收益</t>
        </is>
      </c>
      <c r="D1294" s="6" t="inlineStr">
        <is>
          <t>受贈品收益</t>
        </is>
      </c>
    </row>
    <row r="1295" ht="27.6" customFormat="1" customHeight="1" s="8">
      <c r="A1295" s="6" t="inlineStr">
        <is>
          <t>Thu nhập từ hoàn phí bảo hiểm</t>
        </is>
      </c>
      <c r="B1295" s="6" t="inlineStr">
        <is>
          <t>Receipts from refund of insurance premiums</t>
        </is>
      </c>
      <c r="C1295" s="6" t="inlineStr">
        <is>
          <t>保险费退回的收入</t>
        </is>
      </c>
      <c r="D1295" s="6" t="inlineStr">
        <is>
          <t>保險費退回的收入</t>
        </is>
      </c>
    </row>
    <row r="1296" ht="27.6" customFormat="1" customHeight="1" s="8">
      <c r="A1296" s="6" t="inlineStr">
        <is>
          <t>Thu nhập từ hoạt động cho thuê nhà xưởng</t>
        </is>
      </c>
      <c r="B1296" s="6" t="inlineStr">
        <is>
          <t>Income from factory leasing activities</t>
        </is>
      </c>
      <c r="C1296" s="6" t="inlineStr">
        <is>
          <t>出租厂房所得</t>
        </is>
      </c>
      <c r="D1296" s="6" t="inlineStr">
        <is>
          <t>出租廠房所得</t>
        </is>
      </c>
    </row>
    <row r="1297" ht="27.6" customFormat="1" customHeight="1" s="8">
      <c r="A1297" s="6" t="inlineStr">
        <is>
          <t>Thu nhập từ hoạt động đầu tư mở rộng</t>
        </is>
      </c>
      <c r="B1297" s="6" t="inlineStr">
        <is>
          <t>Income from expansion investment activities</t>
        </is>
      </c>
      <c r="C1297" s="6" t="inlineStr">
        <is>
          <t>扩大投资项目所得</t>
        </is>
      </c>
      <c r="D1297" s="6" t="inlineStr">
        <is>
          <t>擴大投資項目所得</t>
        </is>
      </c>
    </row>
    <row r="1298" ht="27.6" customFormat="1" customHeight="1" s="8">
      <c r="A1298" s="6" t="inlineStr">
        <is>
          <t>Thu nhập từ hoạt động sản xuất kinh doanh</t>
        </is>
      </c>
      <c r="B1298" s="6" t="inlineStr">
        <is>
          <t>Income from production and business activities</t>
        </is>
      </c>
      <c r="C1298" s="6" t="inlineStr">
        <is>
          <t>生产、营业活动所得</t>
        </is>
      </c>
      <c r="D1298" s="6" t="inlineStr">
        <is>
          <t>生產、營業活動所得</t>
        </is>
      </c>
    </row>
    <row r="1299" ht="41.4" customFormat="1" customHeight="1" s="8">
      <c r="A1299" s="6" t="inlineStr">
        <is>
          <t>Thu nhập từ hoạt động sản xuất kinh doanh dự án đầu tư ban đầu</t>
        </is>
      </c>
      <c r="B1299" s="6" t="inlineStr">
        <is>
          <t>Income from production and business activities of the initial investment project</t>
        </is>
      </c>
      <c r="C1299" s="6" t="inlineStr">
        <is>
          <t>原有投资项目生产、营业活动收入</t>
        </is>
      </c>
      <c r="D1299" s="6" t="inlineStr">
        <is>
          <t>原有投資項目生產、營業活動收入</t>
        </is>
      </c>
    </row>
    <row r="1300" ht="41.4" customFormat="1" customHeight="1" s="8">
      <c r="A1300" s="6" t="inlineStr">
        <is>
          <t>Thu nhập từ hoạt động sản xuất kinh doanh dự án đầu tư mở rộng</t>
        </is>
      </c>
      <c r="B1300" s="6" t="inlineStr">
        <is>
          <t>Income from production and business activities of the expansion investment project</t>
        </is>
      </c>
      <c r="C1300" s="6" t="inlineStr">
        <is>
          <t>扩建项目生产、营业活动收入</t>
        </is>
      </c>
      <c r="D1300" s="6" t="inlineStr">
        <is>
          <t>擴建投資項目生產、營業活動收入</t>
        </is>
      </c>
    </row>
    <row r="1301" ht="41.4" customFormat="1" customHeight="1" s="8">
      <c r="A1301" s="6" t="inlineStr">
        <is>
          <t>Thu nhập từ hoạt động sản xuất kinh doanh được hưởng ưu đãi thuế</t>
        </is>
      </c>
      <c r="B1301" s="6" t="inlineStr">
        <is>
          <t>Income from production and business activities eligible for tax incentives</t>
        </is>
      </c>
      <c r="C1301" s="6" t="inlineStr">
        <is>
          <t>符合税收优惠资格的生产、营业活动所得</t>
        </is>
      </c>
      <c r="D1301" s="6" t="inlineStr">
        <is>
          <t>符合稅收優惠資格之生產、營業活動所得</t>
        </is>
      </c>
    </row>
    <row r="1302" ht="41.4" customFormat="1" customHeight="1" s="8">
      <c r="A1302" s="6" t="inlineStr">
        <is>
          <t>Thu nhập từ hoạt động sản xuất kinh doanh không được hưởng ưu đãi thuế</t>
        </is>
      </c>
      <c r="B1302" s="6" t="inlineStr">
        <is>
          <t>Income from production and business activities not eligible for tax incentives</t>
        </is>
      </c>
      <c r="C1302" s="6" t="inlineStr">
        <is>
          <t>不符合税收优惠资格的生产、营业活动所得</t>
        </is>
      </c>
      <c r="D1302" s="6" t="inlineStr">
        <is>
          <t>不符合稅收優惠資格之生產、營業活動所得</t>
        </is>
      </c>
    </row>
    <row r="1303" ht="27.6" customFormat="1" customHeight="1" s="8">
      <c r="A1303" s="6" t="inlineStr">
        <is>
          <t>Thu nhập từ nghiệp vụ bán và thuê lại tài sản</t>
        </is>
      </c>
      <c r="B1303" s="6" t="inlineStr">
        <is>
          <t>Proceeds from sales and leaseback</t>
        </is>
      </c>
      <c r="C1303" s="6" t="inlineStr">
        <is>
          <t>售后租回交易收益</t>
        </is>
      </c>
      <c r="D1303" s="6" t="inlineStr">
        <is>
          <t>售後租回交易收益</t>
        </is>
      </c>
    </row>
    <row r="1304" ht="27.6" customFormat="1" customHeight="1" s="8">
      <c r="A1304" s="6" t="inlineStr">
        <is>
          <t>Thu nhập từ nhận bồi thường của khách hàng</t>
        </is>
      </c>
      <c r="B1304" s="6" t="inlineStr">
        <is>
          <t>Proceeds from customers’ compensation</t>
        </is>
      </c>
      <c r="C1304" s="6" t="inlineStr">
        <is>
          <t>客户赔偿收入</t>
        </is>
      </c>
      <c r="D1304" s="6" t="inlineStr">
        <is>
          <t>客戶賠償收入</t>
        </is>
      </c>
    </row>
    <row r="1305" ht="27.6" customFormat="1" customHeight="1" s="8">
      <c r="A1305" s="6" t="inlineStr">
        <is>
          <t>Thu nhập từ nhượng bán, thanh lý tài sản cố định</t>
        </is>
      </c>
      <c r="B1305" s="6" t="inlineStr">
        <is>
          <t>Proceeds from transfer and disposal of fixed assets</t>
        </is>
      </c>
      <c r="C1305" s="6" t="inlineStr">
        <is>
          <t>固定资产处置、转让收益</t>
        </is>
      </c>
      <c r="D1305" s="6" t="inlineStr">
        <is>
          <t>固定資產處置、轉讓收益</t>
        </is>
      </c>
    </row>
    <row r="1306" ht="27.6" customFormat="1" customHeight="1" s="8">
      <c r="A1306" s="6" t="inlineStr">
        <is>
          <t>Thu nhập từ thanh lý, nhượng bán tài sản cố định</t>
        </is>
      </c>
      <c r="B1306" s="6" t="inlineStr">
        <is>
          <t>Proceeds from disposal and transfer of fixed assets</t>
        </is>
      </c>
      <c r="C1306" s="6" t="inlineStr">
        <is>
          <t>固定资产处置、出售或转让收益</t>
        </is>
      </c>
      <c r="D1306" s="6" t="inlineStr">
        <is>
          <t>固定資產處分、出售或轉讓收益</t>
        </is>
      </c>
    </row>
    <row r="1307" customFormat="1" s="8">
      <c r="A1307" s="6" t="inlineStr">
        <is>
          <t>Thu phí vận chuyển</t>
        </is>
      </c>
      <c r="B1307" s="6" t="inlineStr">
        <is>
          <t>Collection on transport fees</t>
        </is>
      </c>
      <c r="C1307" s="6" t="inlineStr">
        <is>
          <t>收取运费</t>
        </is>
      </c>
      <c r="D1307" s="6" t="inlineStr">
        <is>
          <t>收取運費</t>
        </is>
      </c>
    </row>
    <row r="1308" ht="27.6" customFormat="1" customHeight="1" s="8">
      <c r="A1308" s="6" t="inlineStr">
        <is>
          <t>Thu tiền được phạt do khách hàng vi phạm hợp đồng</t>
        </is>
      </c>
      <c r="B1308" s="6" t="inlineStr">
        <is>
          <t>Proceeds from compensation for contract breach</t>
        </is>
      </c>
      <c r="C1308" s="6" t="inlineStr">
        <is>
          <t>向客户收取违约罚金</t>
        </is>
      </c>
      <c r="D1308" s="6" t="inlineStr">
        <is>
          <t>向客戶收取違約罰金</t>
        </is>
      </c>
    </row>
    <row r="1309" customFormat="1" s="8">
      <c r="A1309" s="6" t="inlineStr">
        <is>
          <t>Thu tiền lãi</t>
        </is>
      </c>
      <c r="B1309" s="6" t="inlineStr">
        <is>
          <t>Receipts from interest</t>
        </is>
      </c>
      <c r="C1309" s="6" t="inlineStr">
        <is>
          <t>收取出借款利息</t>
        </is>
      </c>
      <c r="D1309" s="6" t="inlineStr">
        <is>
          <t>收取出借款利息</t>
        </is>
      </c>
    </row>
    <row r="1310" ht="27.6" customFormat="1" customHeight="1" s="8">
      <c r="A1310" s="6" t="inlineStr">
        <is>
          <t>Thu tiền phạt do khách hàng vi phạm hợp đồng</t>
        </is>
      </c>
      <c r="B1310" s="6" t="inlineStr">
        <is>
          <t>Compensation for contract breach</t>
        </is>
      </c>
      <c r="C1310" s="6" t="inlineStr">
        <is>
          <t>违约赔偿金</t>
        </is>
      </c>
      <c r="D1310" s="6" t="inlineStr">
        <is>
          <t>違約賠償金</t>
        </is>
      </c>
    </row>
    <row r="1311" customFormat="1" s="8">
      <c r="A1311" s="6" t="inlineStr">
        <is>
          <t>Thu tiền thưởng</t>
        </is>
      </c>
      <c r="B1311" s="6" t="inlineStr">
        <is>
          <t>Proceeds from bonuses</t>
        </is>
      </c>
      <c r="C1311" s="6" t="inlineStr">
        <is>
          <t>奖金收益</t>
        </is>
      </c>
      <c r="D1311" s="6" t="inlineStr">
        <is>
          <t>獎金收益</t>
        </is>
      </c>
    </row>
    <row r="1312" ht="27.6" customFormat="1" customHeight="1" s="8">
      <c r="A1312" s="6" t="inlineStr">
        <is>
          <t>Thực hiện đầu tư sản xuất kinh doanh</t>
        </is>
      </c>
      <c r="B1312" s="6" t="inlineStr">
        <is>
          <t>Investment in production and business operations</t>
        </is>
      </c>
      <c r="C1312" s="6" t="inlineStr">
        <is>
          <t>投资生产、经营活动</t>
        </is>
      </c>
      <c r="D1312" s="6" t="inlineStr">
        <is>
          <t>投資生產、經營活動</t>
        </is>
      </c>
    </row>
    <row r="1313" customFormat="1" s="8">
      <c r="A1313" s="6" t="inlineStr">
        <is>
          <t>Thuế</t>
        </is>
      </c>
      <c r="B1313" s="6" t="inlineStr">
        <is>
          <t>Taxes</t>
        </is>
      </c>
      <c r="C1313" s="6" t="inlineStr">
        <is>
          <t>税捐</t>
        </is>
      </c>
      <c r="D1313" s="6" t="inlineStr">
        <is>
          <t>稅捐</t>
        </is>
      </c>
    </row>
    <row r="1314" ht="27.6" customFormat="1" customHeight="1" s="8">
      <c r="A1314" s="6" t="inlineStr">
        <is>
          <t>Thuế  giá trị gia tăng chờ hoàn của hàng xuất trả</t>
        </is>
      </c>
      <c r="B1314" s="6" t="inlineStr">
        <is>
          <t>Value-added tax on returned goods pending refund</t>
        </is>
      </c>
      <c r="C1314" s="6" t="inlineStr">
        <is>
          <t>退回商品的增值税待退还</t>
        </is>
      </c>
      <c r="D1314" s="6" t="inlineStr">
        <is>
          <t>退回商品之增值稅待退還</t>
        </is>
      </c>
    </row>
    <row r="1315" customFormat="1" s="8">
      <c r="A1315" s="6" t="inlineStr">
        <is>
          <t>Thuế bảo vệ môi trường</t>
        </is>
      </c>
      <c r="B1315" s="6" t="inlineStr">
        <is>
          <t>Environmental Protection tax</t>
        </is>
      </c>
      <c r="C1315" s="6" t="inlineStr">
        <is>
          <t>环境保护税</t>
        </is>
      </c>
      <c r="D1315" s="6" t="inlineStr">
        <is>
          <t>環境保護稅</t>
        </is>
      </c>
    </row>
    <row r="1316" customFormat="1" s="8">
      <c r="A1316" s="6" t="inlineStr">
        <is>
          <t>Thuế giá trị gia tăng</t>
        </is>
      </c>
      <c r="B1316" s="6" t="inlineStr">
        <is>
          <t>Value-added tax</t>
        </is>
      </c>
      <c r="C1316" s="6" t="inlineStr">
        <is>
          <t>增值税</t>
        </is>
      </c>
      <c r="D1316" s="6" t="inlineStr">
        <is>
          <t>增值稅</t>
        </is>
      </c>
    </row>
    <row r="1317" customFormat="1" s="8">
      <c r="A1317" s="6" t="inlineStr">
        <is>
          <t>Thuế giá trị gia tăng chờ hoàn</t>
        </is>
      </c>
      <c r="B1317" s="6" t="inlineStr">
        <is>
          <t>Value added tax pending refund</t>
        </is>
      </c>
      <c r="C1317" s="6" t="inlineStr">
        <is>
          <t>待退增值税</t>
        </is>
      </c>
      <c r="D1317" s="6" t="inlineStr">
        <is>
          <t>待退增值稅</t>
        </is>
      </c>
    </row>
    <row r="1318" ht="27.6" customFormat="1" customHeight="1" s="8">
      <c r="A1318" s="6" t="inlineStr">
        <is>
          <t>Thuế giá trị gia tăng chờ kê khai</t>
        </is>
      </c>
      <c r="B1318" s="6" t="inlineStr">
        <is>
          <t>Value-added tax pending declaration</t>
        </is>
      </c>
      <c r="C1318" s="6" t="inlineStr">
        <is>
          <t>待申报增值税</t>
        </is>
      </c>
      <c r="D1318" s="6" t="inlineStr">
        <is>
          <t>待申報增值稅</t>
        </is>
      </c>
    </row>
    <row r="1319" ht="27.6" customFormat="1" customHeight="1" s="8">
      <c r="A1319" s="6" t="inlineStr">
        <is>
          <t>Thuế giá trị gia tăng chưa kê khai</t>
        </is>
      </c>
      <c r="B1319" s="6" t="inlineStr">
        <is>
          <t>Undeclared value-added tax</t>
        </is>
      </c>
      <c r="C1319" s="6" t="inlineStr">
        <is>
          <t>未申报增值税</t>
        </is>
      </c>
      <c r="D1319" s="6" t="inlineStr">
        <is>
          <t>未申報增值稅</t>
        </is>
      </c>
    </row>
    <row r="1320" customFormat="1" s="8">
      <c r="A1320" s="6" t="inlineStr">
        <is>
          <t>Thuế giá trị gia tăng đầu ra</t>
        </is>
      </c>
      <c r="B1320" s="6" t="inlineStr">
        <is>
          <t>Output value-added tax</t>
        </is>
      </c>
      <c r="C1320" s="6" t="inlineStr">
        <is>
          <t>销项增值税</t>
        </is>
      </c>
      <c r="D1320" s="6" t="inlineStr">
        <is>
          <t>銷項增值稅</t>
        </is>
      </c>
    </row>
    <row r="1321" ht="27.6" customFormat="1" customHeight="1" s="8">
      <c r="A1321" s="6" t="inlineStr">
        <is>
          <t>Thuế giá trị gia tăng đề nghị hoàn</t>
        </is>
      </c>
      <c r="B1321" s="6" t="inlineStr">
        <is>
          <t>Value-added tax applied for refund</t>
        </is>
      </c>
      <c r="C1321" s="6" t="inlineStr">
        <is>
          <t>申退增值税</t>
        </is>
      </c>
      <c r="D1321" s="6" t="inlineStr">
        <is>
          <t>申退增值税</t>
        </is>
      </c>
    </row>
    <row r="1322" ht="27.6" customFormat="1" customHeight="1" s="8">
      <c r="A1322" s="6" t="inlineStr">
        <is>
          <t>Thuế giá trị gia tăng được khấu trừ</t>
        </is>
      </c>
      <c r="B1322" s="6" t="inlineStr">
        <is>
          <t>Value-added tax deductible</t>
        </is>
      </c>
      <c r="C1322" s="6" t="inlineStr">
        <is>
          <t>可抵扣增值税</t>
        </is>
      </c>
      <c r="D1322" s="6" t="inlineStr">
        <is>
          <t>可抵扣增值稅</t>
        </is>
      </c>
    </row>
    <row r="1323" ht="27.6" customFormat="1" customHeight="1" s="8">
      <c r="A1323" s="6" t="inlineStr">
        <is>
          <t>Thuế giá trị gia tăng hàng nhập khẩu</t>
        </is>
      </c>
      <c r="B1323" s="6" t="inlineStr">
        <is>
          <t>Value-added tax on imports</t>
        </is>
      </c>
      <c r="C1323" s="6" t="inlineStr">
        <is>
          <t>进口增值税</t>
        </is>
      </c>
      <c r="D1323" s="6" t="inlineStr">
        <is>
          <t>進口增值稅</t>
        </is>
      </c>
    </row>
    <row r="1324" customFormat="1" s="8">
      <c r="A1324" s="6" t="inlineStr">
        <is>
          <t>Thuế giá trị gia tăng nhập khẩu</t>
        </is>
      </c>
      <c r="B1324" s="6" t="inlineStr">
        <is>
          <t>Import value added tax</t>
        </is>
      </c>
      <c r="C1324" s="6" t="inlineStr">
        <is>
          <t>进口增值税</t>
        </is>
      </c>
      <c r="D1324" s="6" t="inlineStr">
        <is>
          <t>進口增值稅</t>
        </is>
      </c>
    </row>
    <row r="1325" customFormat="1" s="8">
      <c r="A1325" s="6" t="inlineStr">
        <is>
          <t>Thuê hoạt động</t>
        </is>
      </c>
      <c r="B1325" s="6" t="inlineStr">
        <is>
          <t>Operating leases</t>
        </is>
      </c>
      <c r="C1325" s="6" t="inlineStr">
        <is>
          <t>营业租赁</t>
        </is>
      </c>
      <c r="D1325" s="6" t="inlineStr">
        <is>
          <t>營業租賃</t>
        </is>
      </c>
    </row>
    <row r="1326" customFormat="1" s="8">
      <c r="A1326" s="6" t="inlineStr">
        <is>
          <t>Thuế môn bài</t>
        </is>
      </c>
      <c r="B1326" s="6" t="inlineStr">
        <is>
          <t>Licensing fee</t>
        </is>
      </c>
      <c r="C1326" s="6" t="inlineStr">
        <is>
          <t>牌照规费（门牌税）</t>
        </is>
      </c>
      <c r="D1326" s="6" t="inlineStr">
        <is>
          <t>牌照規費（門牌稅）</t>
        </is>
      </c>
    </row>
    <row r="1327" ht="27.6" customFormat="1" customHeight="1" s="8">
      <c r="A1327" s="6" t="inlineStr">
        <is>
          <t>Thuế nhà đất, tiền thuê đất</t>
        </is>
      </c>
      <c r="B1327" s="6" t="inlineStr">
        <is>
          <t>Housing and land taxes, land rents</t>
        </is>
      </c>
      <c r="C1327" s="6" t="inlineStr">
        <is>
          <t>住房和土地税、土地租金</t>
        </is>
      </c>
      <c r="D1327" s="6" t="inlineStr">
        <is>
          <t>住房和土地稅、土地租金</t>
        </is>
      </c>
    </row>
    <row r="1328" customFormat="1" s="8">
      <c r="A1328" s="6" t="inlineStr">
        <is>
          <t>Thuế nhà thầu</t>
        </is>
      </c>
      <c r="B1328" s="6" t="inlineStr">
        <is>
          <t>Foreign contractor tax</t>
        </is>
      </c>
      <c r="C1328" s="6" t="inlineStr">
        <is>
          <t>承包商税</t>
        </is>
      </c>
      <c r="D1328" s="6" t="inlineStr">
        <is>
          <t>承包商稅</t>
        </is>
      </c>
    </row>
    <row r="1329" ht="27.6" customFormat="1" customHeight="1" s="8">
      <c r="A1329" s="6" t="inlineStr">
        <is>
          <t>Thuế nhà thầu từ lãi tiền vay</t>
        </is>
      </c>
      <c r="B1329" s="6" t="inlineStr">
        <is>
          <t>Foreign contractor tax on loan interest</t>
        </is>
      </c>
      <c r="C1329" s="6" t="inlineStr">
        <is>
          <t>借款利息的承包商税</t>
        </is>
      </c>
      <c r="D1329" s="6" t="inlineStr">
        <is>
          <t>借款利息的承包商稅</t>
        </is>
      </c>
    </row>
    <row r="1330" customFormat="1" s="8">
      <c r="A1330" s="6" t="inlineStr">
        <is>
          <t>Thuế nhập khẩu</t>
        </is>
      </c>
      <c r="B1330" s="6" t="inlineStr">
        <is>
          <t>Import duty</t>
        </is>
      </c>
      <c r="C1330" s="6" t="inlineStr">
        <is>
          <t>进口关税</t>
        </is>
      </c>
      <c r="D1330" s="6" t="inlineStr">
        <is>
          <t>進口關稅</t>
        </is>
      </c>
    </row>
    <row r="1331" ht="27.6" customFormat="1" customHeight="1" s="8">
      <c r="A1331" s="6" t="inlineStr">
        <is>
          <t>Thuế nhập khẩu không được hoàn</t>
        </is>
      </c>
      <c r="B1331" s="6" t="inlineStr">
        <is>
          <t>Import taxes not refundable</t>
        </is>
      </c>
      <c r="C1331" s="6" t="inlineStr">
        <is>
          <t>不可退回的进口关税</t>
        </is>
      </c>
      <c r="D1331" s="6" t="inlineStr">
        <is>
          <t>不可退回之進口關稅</t>
        </is>
      </c>
    </row>
    <row r="1332" ht="27.6" customFormat="1" customHeight="1" s="8">
      <c r="A1332" s="6" t="inlineStr">
        <is>
          <t>Thuế sử dụng đất phi nông nghiệp</t>
        </is>
      </c>
      <c r="B1332" s="6" t="inlineStr">
        <is>
          <t>Non-agricultural land use tax</t>
        </is>
      </c>
      <c r="C1332" s="6" t="inlineStr">
        <is>
          <t>非农业用地使用税</t>
        </is>
      </c>
      <c r="D1332" s="6" t="inlineStr">
        <is>
          <t>非農業用地使用稅</t>
        </is>
      </c>
    </row>
    <row r="1333" ht="55.2" customFormat="1" customHeight="1" s="8">
      <c r="A1333" s="6" t="inlineStr">
        <is>
          <t>Thuế suất thuế thu nhập doanh nghiệp sử dụng để xác định giá trị tài sản thuế thu nhập hoãn lại</t>
        </is>
      </c>
      <c r="B1333" s="6" t="inlineStr">
        <is>
          <t>Corporate income tax rate applied for determination of deferred income tax assets</t>
        </is>
      </c>
      <c r="C1333" s="6" t="inlineStr">
        <is>
          <t>用于确定递延所得税资产的企业所得税税率</t>
        </is>
      </c>
      <c r="D1333" s="6" t="inlineStr">
        <is>
          <t>用於確定遞延所得稅資產之企業所得稅稅率</t>
        </is>
      </c>
    </row>
    <row r="1334" ht="55.2" customFormat="1" customHeight="1" s="8">
      <c r="A1334" s="6" t="inlineStr">
        <is>
          <t>Thuế suất thuế thu nhập doanh nghiệp sử dụng để xác định giá trị thuế thu nhập hoãn lại phải trả</t>
        </is>
      </c>
      <c r="B1334" s="6" t="inlineStr">
        <is>
          <t>Corporate income tax rate applied for determination of deferred income tax liabilities</t>
        </is>
      </c>
      <c r="C1334" s="6" t="inlineStr">
        <is>
          <t>用于确定递延所得税负债的企业所得税税率</t>
        </is>
      </c>
      <c r="D1334" s="6" t="inlineStr">
        <is>
          <t>用於確定遞延所得稅負債之企業所得稅稅率</t>
        </is>
      </c>
    </row>
    <row r="1335" customFormat="1" s="8">
      <c r="A1335" s="6" t="inlineStr">
        <is>
          <t>Thuê tài chính trong năm</t>
        </is>
      </c>
      <c r="B1335" s="6" t="inlineStr">
        <is>
          <t>Finance leases</t>
        </is>
      </c>
      <c r="C1335" s="6" t="inlineStr">
        <is>
          <t>年度内融资租赁</t>
        </is>
      </c>
      <c r="D1335" s="6" t="inlineStr">
        <is>
          <t>年度內融資租賃</t>
        </is>
      </c>
    </row>
    <row r="1336" ht="82.8" customFormat="1" customHeight="1" s="8">
      <c r="A1336" s="6" t="inlineStr">
        <is>
          <t>Thuê tài sản được phân loại là thuê tài chính khi các điều khoản thuê quy định chuyển giao phần lớn rủi ro và quyền lợi đối với quyền sở hữu tài sản cho bên thuê.</t>
        </is>
      </c>
      <c r="B1336" s="6" t="inlineStr">
        <is>
          <t xml:space="preserve">Assets are classified as finance leases whenever the terms of the lease transfer substantially all the risks and rewards of ownership to the lessee. </t>
        </is>
      </c>
      <c r="C1336" s="6" t="inlineStr">
        <is>
          <t>在租赁条款规定将与资产所有权有关的大部分风险与利益转移给承租方时，租赁资产得以归类为融资租赁资产。</t>
        </is>
      </c>
      <c r="D1336" s="6" t="inlineStr">
        <is>
          <t>在租賃條款規定將與資產所有權有關的大部分風險與利益轉移給承租方時，租賃資產得以歸類為融資租賃資產。</t>
        </is>
      </c>
    </row>
    <row r="1337" customFormat="1" s="8">
      <c r="A1337" s="6" t="inlineStr">
        <is>
          <t>Thuế thu nhập cá nhân</t>
        </is>
      </c>
      <c r="B1337" s="6" t="inlineStr">
        <is>
          <t>Personal income tax</t>
        </is>
      </c>
      <c r="C1337" s="6" t="inlineStr">
        <is>
          <t>个人所得税</t>
        </is>
      </c>
      <c r="D1337" s="6" t="inlineStr">
        <is>
          <t>個人所得稅</t>
        </is>
      </c>
    </row>
    <row r="1338" customFormat="1" s="8">
      <c r="A1338" s="6" t="inlineStr">
        <is>
          <t>Thuế thu nhập doanh nghiệp</t>
        </is>
      </c>
      <c r="B1338" s="6" t="inlineStr">
        <is>
          <t>Corporate income tax</t>
        </is>
      </c>
      <c r="C1338" s="6" t="inlineStr">
        <is>
          <t>企业所得税</t>
        </is>
      </c>
      <c r="D1338" s="6" t="inlineStr">
        <is>
          <t>企業所得稅</t>
        </is>
      </c>
    </row>
    <row r="1339" ht="27.6" customFormat="1" customHeight="1" s="8">
      <c r="A1339" s="6" t="inlineStr">
        <is>
          <t>Thuế thu nhập doanh nghiệp đã nộp</t>
        </is>
      </c>
      <c r="B1339" s="6" t="inlineStr">
        <is>
          <t>Corporate income tax paid</t>
        </is>
      </c>
      <c r="C1339" s="6" t="inlineStr">
        <is>
          <t>已缴纳的企业所得税</t>
        </is>
      </c>
      <c r="D1339" s="6" t="inlineStr">
        <is>
          <t>已繳納之企業所得稅</t>
        </is>
      </c>
    </row>
    <row r="1340" ht="69" customFormat="1" customHeight="1" s="8">
      <c r="A1340" s="6" t="inlineStr">
        <is>
          <t>Thuế thu nhập doanh nghiệp được ghi nhận trong Báo cáo kết quả hoạt động kinh doanh bao gồm thuế thu nhập hiện hành và thuế thu nhập hoãn lại.</t>
        </is>
      </c>
      <c r="B1340" s="6" t="inlineStr">
        <is>
          <t>Corporate income tax disclosed in the income statement includes current income tax and deferred income tax.</t>
        </is>
      </c>
      <c r="C1340" s="6" t="inlineStr">
        <is>
          <t>列示在利润表的企业所得税包含当期所得税及递延所得税。</t>
        </is>
      </c>
      <c r="D1340" s="6" t="inlineStr">
        <is>
          <t>列示於損益表之企業所得稅包含當期所得稅及遞延所得稅。</t>
        </is>
      </c>
    </row>
    <row r="1341" ht="41.4" customFormat="1" customHeight="1" s="8">
      <c r="A1341" s="6" t="inlineStr">
        <is>
          <t>Thuế thu nhập doanh nghiệp được miễn giảm do ưu đãi thuế</t>
        </is>
      </c>
      <c r="B1341" s="6" t="inlineStr">
        <is>
          <t>Corporate income tax exempted/reduced under tax incentives</t>
        </is>
      </c>
      <c r="C1341" s="6" t="inlineStr">
        <is>
          <t>适用企业所得税税收优惠的减免税额</t>
        </is>
      </c>
      <c r="D1341" s="6" t="inlineStr">
        <is>
          <t>適用企業所得稅稅收優惠的減免稅額</t>
        </is>
      </c>
    </row>
    <row r="1342" ht="27.6" customFormat="1" customHeight="1" s="8">
      <c r="A1342" s="6" t="inlineStr">
        <is>
          <t>Thuế thu nhập doanh nghiệp phải nộp của các năm trước</t>
        </is>
      </c>
      <c r="B1342" s="6" t="inlineStr">
        <is>
          <t>Corporate income tax payable of prior years</t>
        </is>
      </c>
      <c r="C1342" s="6" t="inlineStr">
        <is>
          <t>以前年度的企业所得税应纳税额</t>
        </is>
      </c>
      <c r="D1342" s="6" t="inlineStr">
        <is>
          <t>以前年度之企業所得稅應納税額</t>
        </is>
      </c>
    </row>
    <row r="1343" ht="41.4" customFormat="1" customHeight="1" s="8">
      <c r="A1343" s="6" t="inlineStr">
        <is>
          <t>Thuế thu nhập doanh nghiệp phải nộp từ hoạt động sản xuất kinh doanh được giảm</t>
        </is>
      </c>
      <c r="B1343" s="6" t="inlineStr">
        <is>
          <t xml:space="preserve">Reduced corporate income tax payable on production and business activities </t>
        </is>
      </c>
      <c r="C1343" s="6" t="inlineStr">
        <is>
          <t>可享受减税政策的生产、营业活动所得的应纳税额</t>
        </is>
      </c>
      <c r="D1343" s="6" t="inlineStr">
        <is>
          <t>可享受減稅政策的生產、營業活動所得的應納稅額</t>
        </is>
      </c>
    </row>
    <row r="1344" ht="27.6" customFormat="1" customHeight="1" s="8">
      <c r="A1344" s="6" t="inlineStr">
        <is>
          <t>Thuế thu nhập doanh nghiệp phải nộp ước tính</t>
        </is>
      </c>
      <c r="B1344" s="6" t="inlineStr">
        <is>
          <t>Estimated corporate income tax payable</t>
        </is>
      </c>
      <c r="C1344" s="6" t="inlineStr">
        <is>
          <t>企业所得税预估应纳税额</t>
        </is>
      </c>
      <c r="D1344" s="6" t="inlineStr">
        <is>
          <t>企業所得稅預估應納稅額</t>
        </is>
      </c>
    </row>
    <row r="1345" ht="41.4" customFormat="1" customHeight="1" s="8">
      <c r="A1345" s="6" t="inlineStr">
        <is>
          <t>Thuế thu nhập doanh nghiệp phải nộp ước tính từ các khoản thu nhập khác</t>
        </is>
      </c>
      <c r="B1345" s="6" t="inlineStr">
        <is>
          <t>Estimated corporate income tax payable on other income</t>
        </is>
      </c>
      <c r="C1345" s="6" t="inlineStr">
        <is>
          <t>其他所得的预估应纳税额</t>
        </is>
      </c>
      <c r="D1345" s="6" t="inlineStr">
        <is>
          <t>其他所得的預估應納稅額</t>
        </is>
      </c>
    </row>
    <row r="1346" ht="55.2" customFormat="1" customHeight="1" s="8">
      <c r="A1346" s="6" t="inlineStr">
        <is>
          <t>Thuế thu nhập doanh nghiệp phải nộp ước tính từ các khoản thu nhập không được ưu đãi</t>
        </is>
      </c>
      <c r="B1346" s="6" t="inlineStr">
        <is>
          <t xml:space="preserve">Estimated corporate income tax payable on income not eligible for incentives </t>
        </is>
      </c>
      <c r="C1346" s="6" t="inlineStr">
        <is>
          <t>不符合税收优惠资格的收入，预估企业所得税应纳税额</t>
        </is>
      </c>
      <c r="D1346" s="6" t="inlineStr">
        <is>
          <t>不符合稅收優惠資格之收入，預估企業所得稅應納税額</t>
        </is>
      </c>
    </row>
    <row r="1347" ht="41.4" customFormat="1" customHeight="1" s="8">
      <c r="A1347" s="6" t="inlineStr">
        <is>
          <t>Thuế thu nhập doanh nghiệp phải nộp ước tính từ chuyển nhượng dự án</t>
        </is>
      </c>
      <c r="B1347" s="6" t="inlineStr">
        <is>
          <t>Estimated corporate income tax payable on income from transfer of project</t>
        </is>
      </c>
      <c r="C1347" s="6" t="inlineStr">
        <is>
          <t>投资案转让所得的预估应纳税额</t>
        </is>
      </c>
      <c r="D1347" s="6" t="inlineStr">
        <is>
          <t>投資案轉讓所得之預估應納稅額</t>
        </is>
      </c>
    </row>
    <row r="1348" ht="41.4" customFormat="1" customHeight="1" s="8">
      <c r="A1348" s="6" t="inlineStr">
        <is>
          <t>Thuế thu nhập doanh nghiệp phải nộp ước tính từ hoạt động cho thuê nhà xưởng</t>
        </is>
      </c>
      <c r="B1348" s="6" t="inlineStr">
        <is>
          <t>Estimated corporate income tax payable on income from factory leasing activities</t>
        </is>
      </c>
      <c r="C1348" s="6" t="inlineStr">
        <is>
          <t>出租厂房所得的预估应纳税额</t>
        </is>
      </c>
      <c r="D1348" s="6" t="inlineStr">
        <is>
          <t>出租廠房所得的預估應納稅額</t>
        </is>
      </c>
    </row>
    <row r="1349" ht="41.4" customFormat="1" customHeight="1" s="8">
      <c r="A1349" s="6" t="inlineStr">
        <is>
          <t>Thuế thu nhập doanh nghiệp phải nộp ước tính từ hoạt động đầu tư mở rộng</t>
        </is>
      </c>
      <c r="B1349" s="6" t="inlineStr">
        <is>
          <t>Estimated corporate income tax payable on income from expansion investment activities</t>
        </is>
      </c>
      <c r="C1349" s="6" t="inlineStr">
        <is>
          <t>扩大投资项目所得的预估应纳税额</t>
        </is>
      </c>
      <c r="D1349" s="6" t="inlineStr">
        <is>
          <t>擴大投資項目所得的預估應納稅額</t>
        </is>
      </c>
    </row>
    <row r="1350" ht="69" customFormat="1" customHeight="1" s="8">
      <c r="A1350" s="6" t="inlineStr">
        <is>
          <t>Thuế thu nhập doanh nghiệp phải nộp ước tính từ hoạt động sản xuất kinh doanh của dự án đầu tư ban đầu</t>
        </is>
      </c>
      <c r="B1350" s="6" t="inlineStr">
        <is>
          <t>Estimated corporate income tax payable on income from production and business activities of the initial investment project</t>
        </is>
      </c>
      <c r="C1350" s="6" t="inlineStr">
        <is>
          <t>原始投资项目生产、营业活动收入的企业所得税预估应纳税额</t>
        </is>
      </c>
      <c r="D1350" s="6" t="inlineStr">
        <is>
          <t>原始投資項目生產、營業活動收入的企業所得稅預估應納稅額</t>
        </is>
      </c>
    </row>
    <row r="1351" ht="69" customFormat="1" customHeight="1" s="8">
      <c r="A1351" s="6" t="inlineStr">
        <is>
          <t>Thuế thu nhập doanh nghiệp phải nộp ước tính từ hoạt động sản xuất kinh doanh của dự án đầu tư mở rộng</t>
        </is>
      </c>
      <c r="B1351" s="6" t="inlineStr">
        <is>
          <t>Estimated corporate income tax payable on income from production and business activities of the expansion investment project</t>
        </is>
      </c>
      <c r="C1351" s="6" t="inlineStr">
        <is>
          <t>扩建投资项目生产、营业活动收入的企业所得税预估应纳税额</t>
        </is>
      </c>
      <c r="D1351" s="6" t="inlineStr">
        <is>
          <t>擴建投資項目生產、營業活動收入的企業所得稅預估應納稅額</t>
        </is>
      </c>
    </row>
    <row r="1352" ht="41.4" customFormat="1" customHeight="1" s="8">
      <c r="A1352" s="6" t="inlineStr">
        <is>
          <t>Thuế thu nhập doanh nghiệp phải nộp ước tính từ thu nhập được ưu đãi</t>
        </is>
      </c>
      <c r="B1352" s="6" t="inlineStr">
        <is>
          <t>Estimated corporate income tax payable on income eligible for incentives</t>
        </is>
      </c>
      <c r="C1352" s="6" t="inlineStr">
        <is>
          <t>可享受税收优惠所得的企业所得税预估应纳税额</t>
        </is>
      </c>
      <c r="D1352" s="6" t="inlineStr">
        <is>
          <t>可享受稅收優惠所得之企業所得稅預估應納稅額</t>
        </is>
      </c>
    </row>
    <row r="1353" ht="41.4" customFormat="1" customHeight="1" s="8">
      <c r="A1353" s="6" t="inlineStr">
        <is>
          <t>Thuế thu nhập doanh nghiệp phải nộp ước tính từ thu nhập khác không được ưu đãi</t>
        </is>
      </c>
      <c r="B1353" s="6" t="inlineStr">
        <is>
          <t>Estimated corporate income tax payable on other income not eligible for tax incentives</t>
        </is>
      </c>
      <c r="C1353" s="6" t="inlineStr">
        <is>
          <t>不可享受税收优惠的其他所得的预估应纳税额</t>
        </is>
      </c>
      <c r="D1353" s="6" t="inlineStr">
        <is>
          <t>不可享受稅收優惠的其他所得的預估應納稅額</t>
        </is>
      </c>
    </row>
    <row r="1354" ht="41.4" customFormat="1" customHeight="1" s="8">
      <c r="A1354" s="6" t="inlineStr">
        <is>
          <t>Thuế thu nhập doanh nghiệp phải nộp ước tính từ thu nhập không được ưu đãi</t>
        </is>
      </c>
      <c r="B1354" s="6" t="inlineStr">
        <is>
          <t>Estimated corporate income tax payable on income not eligible for incentives</t>
        </is>
      </c>
      <c r="C1354" s="6" t="inlineStr">
        <is>
          <t>不可享受税收优惠所得的企业所得税预估应纳税额</t>
        </is>
      </c>
      <c r="D1354" s="6" t="inlineStr">
        <is>
          <t>不可享受税收優惠所得之企業所得稅預估應納稅額</t>
        </is>
      </c>
    </row>
    <row r="1355" ht="41.4" customFormat="1" customHeight="1" s="8">
      <c r="A1355" s="6" t="inlineStr">
        <is>
          <t>Thuế thu nhập doanh nghiệp phải nộp ước tính từ thu nhập từ dự án đầu tư ban đầu</t>
        </is>
      </c>
      <c r="B1355" s="6" t="inlineStr">
        <is>
          <t>Estimated corporate income tax payable on income from initial investment project</t>
        </is>
      </c>
      <c r="C1355" s="6" t="inlineStr">
        <is>
          <t>原始投资项目所得的预估应纳税额</t>
        </is>
      </c>
      <c r="D1355" s="6" t="inlineStr">
        <is>
          <t>原始投資項目所得的預估應納稅額</t>
        </is>
      </c>
    </row>
    <row r="1356" ht="55.2" customFormat="1" customHeight="1" s="8">
      <c r="A1356" s="6" t="inlineStr">
        <is>
          <t>Thuế thu nhập doanh nghiệp phải nộp ước tính từ thu nhập từ hoạt động sản xuất kinh doanh</t>
        </is>
      </c>
      <c r="B1356" s="6" t="inlineStr">
        <is>
          <t>Estimated corporate income tax payable on income from production and business activities</t>
        </is>
      </c>
      <c r="C1356" s="6" t="inlineStr">
        <is>
          <t>生产、营业活动所得的预估应纳税额</t>
        </is>
      </c>
      <c r="D1356" s="6" t="inlineStr">
        <is>
          <t>生產、營業活動所得的預估應納稅額</t>
        </is>
      </c>
    </row>
    <row r="1357" ht="69" customFormat="1" customHeight="1" s="8">
      <c r="A1357" s="6" t="inlineStr">
        <is>
          <t>Thuế thu nhập doanh nghiệp phải nộp ước tính từ thu nhập từ hoạt động sản xuất kinh doanh được hưởng ưu đãi thuế</t>
        </is>
      </c>
      <c r="B1357" s="6" t="inlineStr">
        <is>
          <t>Estimated corporate income tax payable on income from production and business activities eligible for tax incentives</t>
        </is>
      </c>
      <c r="C1357" s="6" t="inlineStr">
        <is>
          <t>符合税收优惠资格的生产、营业活动所得的预估应纳企业所得税额</t>
        </is>
      </c>
      <c r="D1357" s="6" t="inlineStr">
        <is>
          <t>符合稅收優惠資格之生產、營業活動所得之預估應納企業所得稅額</t>
        </is>
      </c>
    </row>
    <row r="1358" ht="69" customFormat="1" customHeight="1" s="8">
      <c r="A1358" s="6" t="inlineStr">
        <is>
          <t>Thuế thu nhập doanh nghiệp phải nộp ước tính từ thu nhập từ hoạt động sản xuất kinh doanh không được hưởng ưu đãi thuế</t>
        </is>
      </c>
      <c r="B1358" s="6" t="inlineStr">
        <is>
          <t>Estimated corporate income tax payable on income from production and business activities not eligible for tax incentives</t>
        </is>
      </c>
      <c r="C1358" s="6" t="inlineStr">
        <is>
          <t>不符合税收优惠资格的生产、营业活动所得的预估企业所得税应纳税额</t>
        </is>
      </c>
      <c r="D1358" s="6" t="inlineStr">
        <is>
          <t>不符合稅收優惠資格之生產、營業活動所得之預估企業所得稅應納税額</t>
        </is>
      </c>
    </row>
    <row r="1359" ht="124.2" customFormat="1" customHeight="1" s="8">
      <c r="A1359" s="6" t="inlineStr">
        <is>
          <t>Thuế thu nhập hiện hành được tính căn cứ vào thuế suất áp dụng trong năm và kết quả kinh doanh trong năm đã được điều chỉnh cho vài khoản mục, mà cho rằng không được đánh giá hay được phép khi xác định thu nhập chịu thuế bao gồm cả khoản lỗ mang sang, nếu có.</t>
        </is>
      </c>
      <c r="B1359" s="6" t="inlineStr">
        <is>
          <t>Current income tax is based on enacted tax rates and the results for the year as adjusted for items, which are deemed non-assessable or disallowed including losses carried forward, if any.</t>
        </is>
      </c>
      <c r="C1359" s="6" t="inlineStr">
        <is>
          <t>当期所得税按照当年适用税率及经调整后的当年损益结果得以计算，而其调整项目被视为在确定课税所得时不可评估或可以调整，其中包含亏损结转（如有）。</t>
        </is>
      </c>
      <c r="D1359" s="6" t="inlineStr">
        <is>
          <t>當期所得稅按照當年適用稅率及經調整後之當年損益結果得以計算，而其調整項目被視為在確定課稅所得時不可評估或可以調整，其中包含虧損結轉（如有）。</t>
        </is>
      </c>
    </row>
    <row r="1360" ht="262.2" customFormat="1" customHeight="1" s="8">
      <c r="A1360" s="6" t="inlineStr">
        <is>
          <t>Thuế thu nhập hoãn lại được ghi nhận theo phương pháp bảng cân đối kế toán, trên cơ sở các chênh lệch tạm thời phát sinh giữa cơ sở tính thuế đối với tài sản hoặc công nợ và giá trị ghi sổ của chúng trên Bảng cân đối kế toán. Thuế thu nhập hoãn lại được xác định theo thuế suất dự tính sẽ áp dụng cho niên độ mà tài sản được thu hồi hay nợ phải trả được thanh toán. Tài sản thuế thu nhập hoãn lại được ghi nhận tới chừng mực mà trong tương lai có thể phát sinh thu nhập chịu thuế để số chênh lệch tạm thời có thể được sử dụng đến.</t>
        </is>
      </c>
      <c r="B1360" s="6" t="inlineStr">
        <is>
          <t>Deferred income tax is calculated using the balance sheet liability method, on temporary differences arising between the tax bases of assets or liabilities and their carrying amount in the balance sheet. Deferred income tax is calculated at the tax rates that are expected to apply in the period when the asset is realized or liability is settled. Deferred income tax assets are recognized to the extent that it is probable that future taxable profit will be available against which the temporary differences can be utilized.</t>
        </is>
      </c>
      <c r="C1360" s="6" t="inlineStr">
        <is>
          <t>递延所得税按照资产负债表法列报，且根据资产或负债项目在资产负债表中列示的账面价值与其计税基础之间的暂时性差异而列报。递延所得税应以预期收回资产或清偿负债的会计年度的适用税率确认。递延所得税资产在暂时性差异有可能用以抵减未来应课税所得的范围内认列。</t>
        </is>
      </c>
      <c r="D1360" s="6" t="inlineStr">
        <is>
          <t>遞延所得稅按照資產負債表法列報，且根據資產或負債項目在資產負債表中列示的帳面價值與其計稅基礎之間的暫時性差異而列報。遞延所得稅應以預期收回資產或清償負債的會計年度之適用稅率確認。遞延所得稅資產於暫時性差異有可能用以抵減未來應課稅所得之範圍內認列。</t>
        </is>
      </c>
    </row>
    <row r="1361" customFormat="1" s="8">
      <c r="A1361" s="6" t="inlineStr">
        <is>
          <t>Thuế thu nhập hoãn lại phải trả</t>
        </is>
      </c>
      <c r="B1361" s="6" t="inlineStr">
        <is>
          <t>Deferred income tax liabilities</t>
        </is>
      </c>
      <c r="C1361" s="6" t="inlineStr">
        <is>
          <t>递延所得税负债</t>
        </is>
      </c>
      <c r="D1361" s="6" t="inlineStr">
        <is>
          <t>遞延所得稅負債</t>
        </is>
      </c>
    </row>
    <row r="1362" customFormat="1" s="8">
      <c r="A1362" s="6" t="inlineStr">
        <is>
          <t>Thuế tiêu thụ đặc biệt</t>
        </is>
      </c>
      <c r="B1362" s="6" t="inlineStr">
        <is>
          <t>Excise tax</t>
        </is>
      </c>
      <c r="C1362" s="6" t="inlineStr">
        <is>
          <t>特别销售税</t>
        </is>
      </c>
      <c r="D1362" s="6" t="inlineStr">
        <is>
          <t>特別銷售稅</t>
        </is>
      </c>
    </row>
    <row r="1363" ht="27.6" customFormat="1" customHeight="1" s="8">
      <c r="A1363" s="6" t="inlineStr">
        <is>
          <t>Thuế và các khoản khác phải thu Nhà nước</t>
        </is>
      </c>
      <c r="B1363" s="6" t="inlineStr">
        <is>
          <t>Taxes and amounts receivable from State budget</t>
        </is>
      </c>
      <c r="C1363" s="6" t="inlineStr">
        <is>
          <t>应收政府的税款和其他帐款</t>
        </is>
      </c>
      <c r="D1363" s="6" t="inlineStr">
        <is>
          <t>應收政府之稅款及其他帳款</t>
        </is>
      </c>
    </row>
    <row r="1364" ht="27.6" customFormat="1" customHeight="1" s="8">
      <c r="A1364" s="6" t="inlineStr">
        <is>
          <t>Thuế và các khoản khác phải thu, phải nộp Nhà nước</t>
        </is>
      </c>
      <c r="B1364" s="6" t="inlineStr">
        <is>
          <t>Taxes and amounts receivable from, payable to State budget</t>
        </is>
      </c>
      <c r="C1364" s="6" t="inlineStr">
        <is>
          <t>税款及应收、应付国库的款项</t>
        </is>
      </c>
      <c r="D1364" s="6" t="inlineStr">
        <is>
          <t>稅款及應收、應付國庫的款項</t>
        </is>
      </c>
    </row>
    <row r="1365" ht="27.6" customFormat="1" customHeight="1" s="8">
      <c r="A1365" s="6" t="inlineStr">
        <is>
          <t>Thuế và các khoản phải nộp Nhà nước</t>
        </is>
      </c>
      <c r="B1365" s="6" t="inlineStr">
        <is>
          <t>Taxes and amounts payable to State budget</t>
        </is>
      </c>
      <c r="C1365" s="6" t="inlineStr">
        <is>
          <t>应交税费及其他应交款</t>
        </is>
      </c>
      <c r="D1365" s="6" t="inlineStr">
        <is>
          <t>應交稅費及其他應交款</t>
        </is>
      </c>
    </row>
    <row r="1366" ht="27.6" customFormat="1" customHeight="1" s="8">
      <c r="A1366" s="6" t="inlineStr">
        <is>
          <t>Thuế và các khoản phải thu Nhà nước</t>
        </is>
      </c>
      <c r="B1366" s="6" t="inlineStr">
        <is>
          <t>Taxes and amounts receivable from State budget</t>
        </is>
      </c>
      <c r="C1366" s="6" t="inlineStr">
        <is>
          <t>应收政府的税款及其他帐款</t>
        </is>
      </c>
      <c r="D1366" s="6" t="inlineStr">
        <is>
          <t>應收政府之稅款及其他帳款</t>
        </is>
      </c>
    </row>
    <row r="1367" ht="27.6" customFormat="1" customHeight="1" s="8">
      <c r="A1367" s="6" t="inlineStr">
        <is>
          <t>Thuế và các khoản phải thu, phải nộp Nhà nước</t>
        </is>
      </c>
      <c r="B1367" s="6" t="inlineStr">
        <is>
          <t>Taxes and amounts receivable from, payable to State budget</t>
        </is>
      </c>
      <c r="C1367" s="6" t="inlineStr">
        <is>
          <t>税款及应收、应付国库的款项</t>
        </is>
      </c>
      <c r="D1367" s="6" t="inlineStr">
        <is>
          <t>稅款及應收、應付國庫的款項</t>
        </is>
      </c>
    </row>
    <row r="1368" customFormat="1" s="8">
      <c r="A1368" s="6" t="inlineStr">
        <is>
          <t>Thuế xuất nhập khẩu</t>
        </is>
      </c>
      <c r="B1368" s="6" t="inlineStr">
        <is>
          <t>Import export duties</t>
        </is>
      </c>
      <c r="C1368" s="6" t="inlineStr">
        <is>
          <t>进出口关税</t>
        </is>
      </c>
      <c r="D1368" s="6" t="inlineStr">
        <is>
          <t>進出口關稅</t>
        </is>
      </c>
    </row>
    <row r="1369" customFormat="1" s="8">
      <c r="A1369" s="6" t="inlineStr">
        <is>
          <t>Thuế xuất, nhập khẩu</t>
        </is>
      </c>
      <c r="B1369" s="6" t="inlineStr">
        <is>
          <t>Export and import duties</t>
        </is>
      </c>
      <c r="C1369" s="6" t="inlineStr">
        <is>
          <t>进口、出口关税</t>
        </is>
      </c>
      <c r="D1369" s="6" t="inlineStr">
        <is>
          <t>進口、出口關稅</t>
        </is>
      </c>
    </row>
    <row r="1370" customFormat="1" s="8">
      <c r="A1370" s="6" t="inlineStr">
        <is>
          <t>Thuế, lệ phí khác</t>
        </is>
      </c>
      <c r="B1370" s="6" t="inlineStr">
        <is>
          <t>Other taxes and charges</t>
        </is>
      </c>
      <c r="C1370" s="6" t="inlineStr">
        <is>
          <t>税费和其他费用</t>
        </is>
      </c>
      <c r="D1370" s="6" t="inlineStr">
        <is>
          <t>稅費和其他費用</t>
        </is>
      </c>
    </row>
    <row r="1371" customFormat="1" s="8">
      <c r="A1371" s="6" t="inlineStr">
        <is>
          <t>Thuế, phí và lệ phí</t>
        </is>
      </c>
      <c r="B1371" s="6" t="inlineStr">
        <is>
          <t>Taxes, fees and charges</t>
        </is>
      </c>
      <c r="C1371" s="6" t="inlineStr">
        <is>
          <t>税费、规费和例费</t>
        </is>
      </c>
      <c r="D1371" s="6" t="inlineStr">
        <is>
          <t>稅費、規費和例費</t>
        </is>
      </c>
    </row>
    <row r="1372" customFormat="1" s="8">
      <c r="A1372" s="6" t="inlineStr">
        <is>
          <t>Thuyết minh</t>
        </is>
      </c>
      <c r="B1372" s="6" t="inlineStr">
        <is>
          <t>Notes</t>
        </is>
      </c>
      <c r="C1372" s="6" t="inlineStr">
        <is>
          <t>附注</t>
        </is>
      </c>
      <c r="D1372" s="6" t="inlineStr">
        <is>
          <t>附註</t>
        </is>
      </c>
    </row>
    <row r="1373" customFormat="1" s="8">
      <c r="A1373" s="6" t="inlineStr">
        <is>
          <t>Tỉ lệ vốn góp</t>
        </is>
      </c>
      <c r="B1373" s="6" t="inlineStr">
        <is>
          <t>Percentage of interest</t>
        </is>
      </c>
      <c r="C1373" s="6" t="inlineStr">
        <is>
          <t>持股比例</t>
        </is>
      </c>
      <c r="D1373" s="6" t="inlineStr">
        <is>
          <t>持股比例</t>
        </is>
      </c>
    </row>
    <row r="1374" customFormat="1" s="8">
      <c r="A1374" s="6" t="inlineStr">
        <is>
          <t>Tỉ lệ vốn góp (%)</t>
        </is>
      </c>
      <c r="B1374" s="6" t="inlineStr">
        <is>
          <t>Percentage of interest (%)</t>
        </is>
      </c>
      <c r="C1374" s="6" t="inlineStr">
        <is>
          <t>持股比例 (%)</t>
        </is>
      </c>
      <c r="D1374" s="6" t="inlineStr">
        <is>
          <t>持股比例 (%)</t>
        </is>
      </c>
    </row>
    <row r="1375" customFormat="1" s="8">
      <c r="A1375" s="6" t="inlineStr">
        <is>
          <t>Tiền</t>
        </is>
      </c>
      <c r="B1375" s="6" t="inlineStr">
        <is>
          <t>Cash</t>
        </is>
      </c>
      <c r="C1375" s="6" t="inlineStr">
        <is>
          <t>现金</t>
        </is>
      </c>
      <c r="D1375" s="6" t="inlineStr">
        <is>
          <t>現金</t>
        </is>
      </c>
    </row>
    <row r="1376" customFormat="1" s="8">
      <c r="A1376" s="6" t="inlineStr">
        <is>
          <t>Tiền bản quyền</t>
        </is>
      </c>
      <c r="B1376" s="6" t="inlineStr">
        <is>
          <t>Royalties</t>
        </is>
      </c>
      <c r="C1376" s="6" t="inlineStr">
        <is>
          <t>版权收入</t>
        </is>
      </c>
      <c r="D1376" s="6" t="inlineStr">
        <is>
          <t>版權收入</t>
        </is>
      </c>
    </row>
    <row r="1377" ht="55.2" customFormat="1" customHeight="1" s="8">
      <c r="A1377" s="6" t="inlineStr">
        <is>
          <t>Tiền bản quyền được ghi nhận trên cơ sở dồn tích phù hợp với hợp đồng chuyển giao bản quyền.</t>
        </is>
      </c>
      <c r="B1377" s="6" t="inlineStr">
        <is>
          <t>Royalties shall be recorded on accrual basis in compliance with the copyright transfer agreement.</t>
        </is>
      </c>
      <c r="C1377" s="6" t="inlineStr">
        <is>
          <t>版权收入在权责发生制（应计制）基础上根据版权转让合同（协议）认列。</t>
        </is>
      </c>
      <c r="D1377" s="6" t="inlineStr">
        <is>
          <t>版權收入在權責發生制（應計制）基礎上根據版權轉讓合約（協議）認列。</t>
        </is>
      </c>
    </row>
    <row r="1378" customFormat="1" s="8">
      <c r="A1378" s="6" t="inlineStr">
        <is>
          <t>Tiền chậm nộp thuế</t>
        </is>
      </c>
      <c r="B1378" s="6" t="inlineStr">
        <is>
          <t>Late payment interest</t>
        </is>
      </c>
      <c r="C1378" s="6" t="inlineStr">
        <is>
          <t>税款滞纳金</t>
        </is>
      </c>
      <c r="D1378" s="6" t="inlineStr">
        <is>
          <t>稅款滯納金</t>
        </is>
      </c>
    </row>
    <row r="1379" customFormat="1" s="8">
      <c r="A1379" s="6" t="inlineStr">
        <is>
          <t>Tiền chi cho vay</t>
        </is>
      </c>
      <c r="B1379" s="6" t="inlineStr">
        <is>
          <t>Payments for loans granted</t>
        </is>
      </c>
      <c r="C1379" s="6" t="inlineStr">
        <is>
          <t>贷款发放</t>
        </is>
      </c>
      <c r="D1379" s="6" t="inlineStr">
        <is>
          <t>貸款發放</t>
        </is>
      </c>
    </row>
    <row r="1380" ht="41.4" customFormat="1" customHeight="1" s="8">
      <c r="A1380" s="6" t="inlineStr">
        <is>
          <t>Tiền chi cho vay, mua các công cụ nợ của đơn vị khác</t>
        </is>
      </c>
      <c r="B1380" s="6" t="inlineStr">
        <is>
          <t>Payments for loans granted and purchases of debt instruments of other entities</t>
        </is>
      </c>
      <c r="C1380" s="6" t="inlineStr">
        <is>
          <t>放款（出借款）或购买其他单位债务工具的支出</t>
        </is>
      </c>
      <c r="D1380" s="6" t="inlineStr">
        <is>
          <t>放款（出借款）或購買其他單位債務工具之支出</t>
        </is>
      </c>
    </row>
    <row r="1381" ht="27.6" customFormat="1" customHeight="1" s="8">
      <c r="A1381" s="6" t="inlineStr">
        <is>
          <t>Tiền chi đầu tư góp vốn vào đơn vị khác</t>
        </is>
      </c>
      <c r="B1381" s="6" t="inlineStr">
        <is>
          <t>Payments for investment in other entities</t>
        </is>
      </c>
      <c r="C1381" s="6" t="inlineStr">
        <is>
          <t>投资入股其他单位的支出</t>
        </is>
      </c>
      <c r="D1381" s="6" t="inlineStr">
        <is>
          <t>投資入股其他單位之支出</t>
        </is>
      </c>
    </row>
    <row r="1382" ht="27.6" customFormat="1" customHeight="1" s="8">
      <c r="A1382" s="6" t="inlineStr">
        <is>
          <t>Tiền chi đầu tư, góp vốn vào đơn vị khác</t>
        </is>
      </c>
      <c r="B1382" s="6" t="inlineStr">
        <is>
          <t>Payments for investment in other entities</t>
        </is>
      </c>
      <c r="C1382" s="6" t="inlineStr">
        <is>
          <t>投资入股其他单位之支出</t>
        </is>
      </c>
      <c r="D1382" s="6" t="inlineStr">
        <is>
          <t>投資入股其他單位之支出</t>
        </is>
      </c>
    </row>
    <row r="1383" ht="27.6" customFormat="1" customHeight="1" s="8">
      <c r="A1383" s="6" t="inlineStr">
        <is>
          <t>Tiền chi để mua sắm, xây dựng tài sản cố định</t>
        </is>
      </c>
      <c r="B1383" s="6" t="inlineStr">
        <is>
          <t xml:space="preserve">Payments for purchases, construction of fixed assets </t>
        </is>
      </c>
      <c r="C1383" s="6" t="inlineStr">
        <is>
          <t>购建固定资产的支出</t>
        </is>
      </c>
      <c r="D1383" s="6" t="inlineStr">
        <is>
          <t>購建固定資產之支出</t>
        </is>
      </c>
    </row>
    <row r="1384" ht="41.4" customFormat="1" customHeight="1" s="8">
      <c r="A1384" s="6" t="inlineStr">
        <is>
          <t>Tiền chi để mua sắm, xây dựng tài sản cố định và tài sản dài hạn khác</t>
        </is>
      </c>
      <c r="B1384" s="6" t="inlineStr">
        <is>
          <t xml:space="preserve">Payments for purchases, construction of fixed assets and other non-current assets </t>
        </is>
      </c>
      <c r="C1384" s="6" t="inlineStr">
        <is>
          <t>购建固定资产和其他长期资产的支出</t>
        </is>
      </c>
      <c r="D1384" s="6" t="inlineStr">
        <is>
          <t>購建固定資產和其他長期資產之支出</t>
        </is>
      </c>
    </row>
    <row r="1385" ht="27.6" customFormat="1" customHeight="1" s="8">
      <c r="A1385" s="6" t="inlineStr">
        <is>
          <t>Tiền chi khác từ hoạt động kinh doanh</t>
        </is>
      </c>
      <c r="B1385" s="6" t="inlineStr">
        <is>
          <t>Other payments for operating activities</t>
        </is>
      </c>
      <c r="C1385" s="6" t="inlineStr">
        <is>
          <t>营业活动的其他现金流出</t>
        </is>
      </c>
      <c r="D1385" s="6" t="inlineStr">
        <is>
          <t>營業活動之其他現金流出</t>
        </is>
      </c>
    </row>
    <row r="1386" ht="27.6" customFormat="1" customHeight="1" s="8">
      <c r="A1386" s="6" t="inlineStr">
        <is>
          <t>Tiền chi trả nợ gốc thuê tài chính</t>
        </is>
      </c>
      <c r="B1386" s="6" t="inlineStr">
        <is>
          <t>Payments to settle finance lease</t>
        </is>
      </c>
      <c r="C1386" s="6" t="inlineStr">
        <is>
          <t>偿还融资租赁债款本金的支出</t>
        </is>
      </c>
      <c r="D1386" s="6" t="inlineStr">
        <is>
          <t>償還融資租賃債款本金之支出</t>
        </is>
      </c>
    </row>
    <row r="1387" ht="27.6" customFormat="1" customHeight="1" s="8">
      <c r="A1387" s="6" t="inlineStr">
        <is>
          <t>Tiền chi trả nợ gốc vay</t>
        </is>
      </c>
      <c r="B1387" s="6" t="inlineStr">
        <is>
          <t>Payments to settle debts (principal)</t>
        </is>
      </c>
      <c r="C1387" s="6" t="inlineStr">
        <is>
          <t>偿还贷款本金的支出</t>
        </is>
      </c>
      <c r="D1387" s="6" t="inlineStr">
        <is>
          <t>償還貸款本金之支出</t>
        </is>
      </c>
    </row>
    <row r="1388" customFormat="1" s="8">
      <c r="A1388" s="6" t="inlineStr">
        <is>
          <t>Tiền đang chuyển</t>
        </is>
      </c>
      <c r="B1388" s="6" t="inlineStr">
        <is>
          <t>Cash in transit</t>
        </is>
      </c>
      <c r="C1388" s="6" t="inlineStr">
        <is>
          <t>在途现金</t>
        </is>
      </c>
      <c r="D1388" s="6" t="inlineStr">
        <is>
          <t>在途現金</t>
        </is>
      </c>
    </row>
    <row r="1389" customFormat="1" s="8">
      <c r="A1389" s="6" t="inlineStr">
        <is>
          <t>Tiền đặt cọc hợp đồng taxi</t>
        </is>
      </c>
      <c r="B1389" s="6" t="inlineStr">
        <is>
          <t>Deposit for taxi contracts</t>
        </is>
      </c>
      <c r="C1389" s="6" t="inlineStr">
        <is>
          <t>计程车合同押金</t>
        </is>
      </c>
      <c r="D1389" s="6" t="inlineStr">
        <is>
          <t>計程車合約押金</t>
        </is>
      </c>
    </row>
    <row r="1390" customFormat="1" s="8">
      <c r="A1390" s="6" t="inlineStr">
        <is>
          <t>Tiền đặt cọc thuê nhà</t>
        </is>
      </c>
      <c r="B1390" s="6" t="inlineStr">
        <is>
          <t>Deposit for housing lease</t>
        </is>
      </c>
      <c r="C1390" s="6" t="inlineStr">
        <is>
          <t>房屋租赁押金</t>
        </is>
      </c>
      <c r="D1390" s="6" t="inlineStr">
        <is>
          <t>房屋租賃押金</t>
        </is>
      </c>
    </row>
    <row r="1391" customFormat="1" s="8">
      <c r="A1391" s="6" t="inlineStr">
        <is>
          <t>Tiền gửi có kỳ hạn</t>
        </is>
      </c>
      <c r="B1391" s="6" t="inlineStr">
        <is>
          <t>Term deposits</t>
        </is>
      </c>
      <c r="C1391" s="6" t="inlineStr">
        <is>
          <t>定期存款</t>
        </is>
      </c>
      <c r="D1391" s="6" t="inlineStr">
        <is>
          <t>定期存款</t>
        </is>
      </c>
    </row>
    <row r="1392" customFormat="1" s="8">
      <c r="A1392" s="6" t="inlineStr">
        <is>
          <t>Tiền gửi có kỳ hạn 12 tháng</t>
        </is>
      </c>
      <c r="B1392" s="6" t="inlineStr">
        <is>
          <t xml:space="preserve">12-month deposits </t>
        </is>
      </c>
      <c r="C1392" s="6" t="inlineStr">
        <is>
          <t>为期12个月的定期存款</t>
        </is>
      </c>
      <c r="D1392" s="6" t="inlineStr">
        <is>
          <t>為期12個月之定期存款</t>
        </is>
      </c>
    </row>
    <row r="1393" customFormat="1" s="8">
      <c r="A1393" s="6" t="inlineStr">
        <is>
          <t>Tiền gửi ngân hàng</t>
        </is>
      </c>
      <c r="B1393" s="6" t="inlineStr">
        <is>
          <t>Cash in bank</t>
        </is>
      </c>
      <c r="C1393" s="6" t="inlineStr">
        <is>
          <t>银行存款</t>
        </is>
      </c>
      <c r="D1393" s="6" t="inlineStr">
        <is>
          <t>銀行存款</t>
        </is>
      </c>
    </row>
    <row r="1394" customFormat="1" s="8">
      <c r="A1394" s="6" t="inlineStr">
        <is>
          <t>Tiền lãi</t>
        </is>
      </c>
      <c r="B1394" s="6" t="inlineStr">
        <is>
          <t>Interests</t>
        </is>
      </c>
      <c r="C1394" s="6" t="inlineStr">
        <is>
          <t>利息收入</t>
        </is>
      </c>
      <c r="D1394" s="6" t="inlineStr">
        <is>
          <t>利息收入</t>
        </is>
      </c>
    </row>
    <row r="1395" ht="69" customFormat="1" customHeight="1" s="8">
      <c r="A1395" s="6" t="inlineStr">
        <is>
          <t>Tiền lãi được ghi nhận trên cơ sở dồn tích, được xác định trên số dư gốc và lãi suất thực tế từng kỳ.</t>
        </is>
      </c>
      <c r="B1395" s="6" t="inlineStr">
        <is>
          <t>Interests shall be recorded on accrual basis, which are determined basing on balance of the principal and actual interest rate of each term.</t>
        </is>
      </c>
      <c r="C1395" s="6" t="inlineStr">
        <is>
          <t>利息收入在权责发生制（应计制）基础上认列，且按照每期本金余额及实际利率得以计算。</t>
        </is>
      </c>
      <c r="D1395" s="6" t="inlineStr">
        <is>
          <t>利息收入在權責發生制（應計制）基礎上認列，且按照每期本金餘額及實際利率得以計算。</t>
        </is>
      </c>
    </row>
    <row r="1396" customFormat="1" s="8">
      <c r="A1396" s="6" t="inlineStr">
        <is>
          <t>Tiền lãi vay đã trả</t>
        </is>
      </c>
      <c r="B1396" s="6" t="inlineStr">
        <is>
          <t>Interests paid</t>
        </is>
      </c>
      <c r="C1396" s="6" t="inlineStr">
        <is>
          <t>已支付的借款利息</t>
        </is>
      </c>
      <c r="D1396" s="6" t="inlineStr">
        <is>
          <t>已支付之借款利息</t>
        </is>
      </c>
    </row>
    <row r="1397" customFormat="1" s="8">
      <c r="A1397" s="6" t="inlineStr">
        <is>
          <t>Tiền mặt</t>
        </is>
      </c>
      <c r="B1397" s="6" t="inlineStr">
        <is>
          <t>Cash on hand</t>
        </is>
      </c>
      <c r="C1397" s="6" t="inlineStr">
        <is>
          <t>现金</t>
        </is>
      </c>
      <c r="D1397" s="6" t="inlineStr">
        <is>
          <t>現金</t>
        </is>
      </c>
    </row>
    <row r="1398" customFormat="1" s="8">
      <c r="A1398" s="6" t="inlineStr">
        <is>
          <t>Tiền mượn của Giám đốc</t>
        </is>
      </c>
      <c r="B1398" s="6" t="inlineStr">
        <is>
          <t>Borrowings from Director</t>
        </is>
      </c>
      <c r="C1398" s="6" t="inlineStr">
        <is>
          <t>向经理借钱</t>
        </is>
      </c>
      <c r="D1398" s="6" t="inlineStr">
        <is>
          <t>向經理借錢</t>
        </is>
      </c>
    </row>
    <row r="1399" ht="27.6" customFormat="1" customHeight="1" s="8">
      <c r="A1399" s="6" t="inlineStr">
        <is>
          <t>Tiền mượn của Giám đốc điều hành</t>
        </is>
      </c>
      <c r="B1399" s="6" t="inlineStr">
        <is>
          <t>Borrowings from Managing Director</t>
        </is>
      </c>
      <c r="C1399" s="6" t="inlineStr">
        <is>
          <t>向执行总监借钱</t>
        </is>
      </c>
      <c r="D1399" s="6" t="inlineStr">
        <is>
          <t>向執行總監借錢</t>
        </is>
      </c>
    </row>
    <row r="1400" ht="27.6" customFormat="1" customHeight="1" s="8">
      <c r="A1400" s="6" t="inlineStr">
        <is>
          <t>Tiền phạt do vi phạm hợp đồng kinh tế</t>
        </is>
      </c>
      <c r="B1400" s="6" t="inlineStr">
        <is>
          <t>Fines for contract breach</t>
        </is>
      </c>
      <c r="C1400" s="6" t="inlineStr">
        <is>
          <t>支付违约罚金</t>
        </is>
      </c>
      <c r="D1400" s="6" t="inlineStr">
        <is>
          <t>支付違約罰金</t>
        </is>
      </c>
    </row>
    <row r="1401" customFormat="1" s="8">
      <c r="A1401" s="6" t="inlineStr">
        <is>
          <t>Tiền thu hồi cho vay</t>
        </is>
      </c>
      <c r="B1401" s="6" t="inlineStr">
        <is>
          <t>Recovery of loans granted</t>
        </is>
      </c>
      <c r="C1401" s="6" t="inlineStr">
        <is>
          <t>收回借款</t>
        </is>
      </c>
      <c r="D1401" s="6" t="inlineStr">
        <is>
          <t>收回借款</t>
        </is>
      </c>
    </row>
    <row r="1402" ht="41.4" customFormat="1" customHeight="1" s="8">
      <c r="A1402" s="6" t="inlineStr">
        <is>
          <t>Tiền thu hồi cho vay, bán lại các công cụ nợ của đơn vị khác</t>
        </is>
      </c>
      <c r="B1402" s="6" t="inlineStr">
        <is>
          <t>Recovery of loans granted and disposals of debt instruments of other entities</t>
        </is>
      </c>
      <c r="C1402" s="6" t="inlineStr">
        <is>
          <t>收回借款或转售其他单位债务工具的收入</t>
        </is>
      </c>
      <c r="D1402" s="6" t="inlineStr">
        <is>
          <t>收回借款或轉售其他單位債務工具的收入</t>
        </is>
      </c>
    </row>
    <row r="1403" ht="27.6" customFormat="1" customHeight="1" s="8">
      <c r="A1403" s="6" t="inlineStr">
        <is>
          <t>Tiền thu hồi đầu tư góp vốn vào đơn vị khác</t>
        </is>
      </c>
      <c r="B1403" s="6" t="inlineStr">
        <is>
          <t>Collections on investment in other entities</t>
        </is>
      </c>
      <c r="C1403" s="6" t="inlineStr">
        <is>
          <t>向其他单位收回投资的收入</t>
        </is>
      </c>
      <c r="D1403" s="6" t="inlineStr">
        <is>
          <t>向其他單位收回投資之收入</t>
        </is>
      </c>
    </row>
    <row r="1404" ht="27.6" customFormat="1" customHeight="1" s="8">
      <c r="A1404" s="6" t="inlineStr">
        <is>
          <t>Tiền thu khác từ hoạt động kinh doanh</t>
        </is>
      </c>
      <c r="B1404" s="6" t="inlineStr">
        <is>
          <t>Other receipts from operating activities</t>
        </is>
      </c>
      <c r="C1404" s="6" t="inlineStr">
        <is>
          <t>营业活动的其他现金流入</t>
        </is>
      </c>
      <c r="D1404" s="6" t="inlineStr">
        <is>
          <t>營業活動之其他現金流入</t>
        </is>
      </c>
    </row>
    <row r="1405" customFormat="1" s="8">
      <c r="A1405" s="6" t="inlineStr">
        <is>
          <t>Tiền thu lãi cho vay</t>
        </is>
      </c>
      <c r="B1405" s="6" t="inlineStr">
        <is>
          <t>Receipts of loan interest</t>
        </is>
      </c>
      <c r="C1405" s="6" t="inlineStr">
        <is>
          <t>出借款利息的收入</t>
        </is>
      </c>
      <c r="D1405" s="6" t="inlineStr">
        <is>
          <t>出借款利息的收入</t>
        </is>
      </c>
    </row>
    <row r="1406" ht="27.6" customFormat="1" customHeight="1" s="8">
      <c r="A1406" s="6" t="inlineStr">
        <is>
          <t>Tiền thu lãi cho vay, cổ tức và lợi nhuận được chia</t>
        </is>
      </c>
      <c r="B1406" s="6" t="inlineStr">
        <is>
          <t>Receipts of interest, dividends</t>
        </is>
      </c>
      <c r="C1406" s="6" t="inlineStr">
        <is>
          <t>贷款利息、获分股息及股利的收入</t>
        </is>
      </c>
      <c r="D1406" s="6" t="inlineStr">
        <is>
          <t>貸款利息、獲分股息及股利之收入</t>
        </is>
      </c>
    </row>
    <row r="1407" customFormat="1" s="8">
      <c r="A1407" s="6" t="inlineStr">
        <is>
          <t>Tiền thu từ đi vay</t>
        </is>
      </c>
      <c r="B1407" s="6" t="inlineStr">
        <is>
          <t>Proceeds from borrowings</t>
        </is>
      </c>
      <c r="C1407" s="6" t="inlineStr">
        <is>
          <t>借款的收入</t>
        </is>
      </c>
      <c r="D1407" s="6" t="inlineStr">
        <is>
          <t>借款之收入</t>
        </is>
      </c>
    </row>
    <row r="1408" ht="27.6" customFormat="1" customHeight="1" s="8">
      <c r="A1408" s="6" t="inlineStr">
        <is>
          <t>Tiền thu từ nhận góp vốn của chủ sở hữu</t>
        </is>
      </c>
      <c r="B1408" s="6" t="inlineStr">
        <is>
          <t>Proceeds from equity issue and owner’s equity</t>
        </is>
      </c>
      <c r="C1408" s="6" t="inlineStr">
        <is>
          <t>所有者（股东）投资资金的收入</t>
        </is>
      </c>
      <c r="D1408" s="6" t="inlineStr">
        <is>
          <t>所有者（股東）投資資金之收入</t>
        </is>
      </c>
    </row>
    <row r="1409" ht="27.6" customFormat="1" customHeight="1" s="8">
      <c r="A1409" s="6" t="inlineStr">
        <is>
          <t>Tiền thu từ thanh lý, nhượng bán tài sản cố định</t>
        </is>
      </c>
      <c r="B1409" s="6" t="inlineStr">
        <is>
          <t>Proceeds from disposal of fixed assets</t>
        </is>
      </c>
      <c r="C1409" s="6" t="inlineStr">
        <is>
          <t>处置、出售或转让固定资产的收入</t>
        </is>
      </c>
      <c r="D1409" s="6" t="inlineStr">
        <is>
          <t>處分、出售或轉讓固定資產之收入</t>
        </is>
      </c>
    </row>
    <row r="1410" ht="41.4" customFormat="1" customHeight="1" s="8">
      <c r="A1410" s="6" t="inlineStr">
        <is>
          <t>Tiền thu từ thanh lý, nhượng bán tài sản cố định và các tài sản dài hạn khác</t>
        </is>
      </c>
      <c r="B1410" s="6" t="inlineStr">
        <is>
          <t>Proceeds from disposal of fixed assets</t>
        </is>
      </c>
      <c r="C1410" s="6" t="inlineStr">
        <is>
          <t>处置、出售或转让固定资产和其他长期资产的收入</t>
        </is>
      </c>
      <c r="D1410" s="6" t="inlineStr">
        <is>
          <t>處分、出售或轉讓固定資產及其他長期資產之收入</t>
        </is>
      </c>
    </row>
    <row r="1411" customFormat="1" s="8">
      <c r="A1411" s="6" t="inlineStr">
        <is>
          <t>Tiền thuê đất</t>
        </is>
      </c>
      <c r="B1411" s="6" t="inlineStr">
        <is>
          <t>Land rents</t>
        </is>
      </c>
      <c r="C1411" s="6" t="inlineStr">
        <is>
          <t>土地租金</t>
        </is>
      </c>
      <c r="D1411" s="6" t="inlineStr">
        <is>
          <t>土地租金</t>
        </is>
      </c>
    </row>
    <row r="1412" ht="27.6" customFormat="1" customHeight="1" s="8">
      <c r="A1412" s="6" t="inlineStr">
        <is>
          <t>Tiền thuê phát sinh thêm được ghi nhận là chi phí trong năm</t>
        </is>
      </c>
      <c r="B1412" s="6" t="inlineStr">
        <is>
          <t>Additions to rentals recognized as expenses in the year</t>
        </is>
      </c>
      <c r="C1412" s="6" t="inlineStr">
        <is>
          <t>列为当期费用的租金增加款额：</t>
        </is>
      </c>
      <c r="D1412" s="6" t="inlineStr">
        <is>
          <t>列為當期費用之租金增加款額：</t>
        </is>
      </c>
    </row>
    <row r="1413" customFormat="1" s="8">
      <c r="A1413" s="6" t="inlineStr">
        <is>
          <t>Tiền trả hộ</t>
        </is>
      </c>
      <c r="B1413" s="6" t="inlineStr">
        <is>
          <t>On-behalf payments</t>
        </is>
      </c>
      <c r="C1413" s="6" t="inlineStr">
        <is>
          <t>代付款</t>
        </is>
      </c>
      <c r="D1413" s="6" t="inlineStr">
        <is>
          <t>代付款</t>
        </is>
      </c>
    </row>
    <row r="1414" ht="41.4" customFormat="1" customHeight="1" s="8">
      <c r="A1414" s="6" t="inlineStr">
        <is>
          <t>Tiền trả lại vốn góp cho các chủ sở hữu, mua lại cổ phần của doanh nghiệp đã phát hành</t>
        </is>
      </c>
      <c r="B1414" s="6" t="inlineStr">
        <is>
          <t>Repayment for capital contributions</t>
        </is>
      </c>
      <c r="C1414" s="6" t="inlineStr">
        <is>
          <t>归还投资款予所有者（股东）或买回公司已发行股份的支出</t>
        </is>
      </c>
      <c r="D1414" s="6" t="inlineStr">
        <is>
          <t>歸還投資款予所有者（股東）或買回公司已發行股份之支出</t>
        </is>
      </c>
    </row>
    <row r="1415" ht="27.6" customFormat="1" customHeight="1" s="8">
      <c r="A1415" s="6" t="inlineStr">
        <is>
          <t>Tiền trả nợ gốc vay</t>
        </is>
      </c>
      <c r="B1415" s="6" t="inlineStr">
        <is>
          <t>Payments to settle debts (principal)</t>
        </is>
      </c>
      <c r="C1415" s="6" t="inlineStr">
        <is>
          <t>偿还贷款本金的支出</t>
        </is>
      </c>
      <c r="D1415" s="6" t="inlineStr">
        <is>
          <t>償還貸款本金之支出</t>
        </is>
      </c>
    </row>
    <row r="1416" ht="27.6" customFormat="1" customHeight="1" s="8">
      <c r="A1416" s="6" t="inlineStr">
        <is>
          <t>Tiền và các khoản tương đương tiền</t>
        </is>
      </c>
      <c r="B1416" s="6" t="inlineStr">
        <is>
          <t>Cash and cash equivalents</t>
        </is>
      </c>
      <c r="C1416" s="6" t="inlineStr">
        <is>
          <t>现金及现金等价物</t>
        </is>
      </c>
      <c r="D1416" s="6" t="inlineStr">
        <is>
          <t>現金及約當現金</t>
        </is>
      </c>
    </row>
    <row r="1417" ht="151.8" customFormat="1" customHeight="1" s="8">
      <c r="A1417" s="6" t="inlineStr">
        <is>
          <t>Tiền và các khoản tương đương tiền bao gồm tiền mặt tại quỹ, tiền gửi ngân hàng, tiền đang chuyển, tiền gửi không kỳ hạn và các khoản đầu tư ngắn hạn khác có thời hạn không quá ba tháng mà có thể dễ dàng chuyển thành tiền và có rủi ro không đáng kể về việc thay đổi giá trị.</t>
        </is>
      </c>
      <c r="B1417" s="6" t="inlineStr">
        <is>
          <t>Cash and cash equivalents comprise cash on hand, cash in banks, cash in transit, demand deposits and other short-term investments for a period not exceeding three months that are readily convertible to known amounts of cash and which are subject to an insignificant risk of changes in value.</t>
        </is>
      </c>
      <c r="C1417" s="6" t="inlineStr">
        <is>
          <t>现金及现金等价物包含库存现金、银行存款、在途现金、活期存款和持有期限不超过三个月、易于变现且价值变动风险不显著的其他短期投资。</t>
        </is>
      </c>
      <c r="D1417" s="6" t="inlineStr">
        <is>
          <t>現金及約當現金包含庫存現金、銀行存款、在途現金、活期存款以及持有期限不超過三個月、易於變現且價值變動風險不顯著的其他短期投資。</t>
        </is>
      </c>
    </row>
    <row r="1418" ht="27.6" customFormat="1" customHeight="1" s="8">
      <c r="A1418" s="6" t="inlineStr">
        <is>
          <t>Tiền và tương đương tiền cuối năm</t>
        </is>
      </c>
      <c r="B1418" s="6" t="inlineStr">
        <is>
          <t>Cash and cash equivalents at the end of the year</t>
        </is>
      </c>
      <c r="C1418" s="6" t="inlineStr">
        <is>
          <t>年底现金及现金等价物余额</t>
        </is>
      </c>
      <c r="D1418" s="6" t="inlineStr">
        <is>
          <t>年底現金及約當現金餘額</t>
        </is>
      </c>
    </row>
    <row r="1419" ht="27.6" customFormat="1" customHeight="1" s="8">
      <c r="A1419" s="6" t="inlineStr">
        <is>
          <t>Tiền và tương đương tiền đầu năm</t>
        </is>
      </c>
      <c r="B1419" s="6" t="inlineStr">
        <is>
          <t>Cash and cash equivalents at the beginning of the year</t>
        </is>
      </c>
      <c r="C1419" s="6" t="inlineStr">
        <is>
          <t>年初现金及现金等价物余额</t>
        </is>
      </c>
      <c r="D1419" s="6" t="inlineStr">
        <is>
          <t>年初現金及約當現金餘額</t>
        </is>
      </c>
    </row>
    <row r="1420" ht="41.4" customFormat="1" customHeight="1" s="8">
      <c r="A1420" s="6" t="inlineStr">
        <is>
          <t>Tình hình tăng giảm dự phòng giảm giá hàng tồn kho:</t>
        </is>
      </c>
      <c r="B1420" s="6" t="inlineStr">
        <is>
          <t>Increases and decreases in provision for devaluation of inventory:</t>
        </is>
      </c>
      <c r="C1420" s="6" t="inlineStr">
        <is>
          <t>存货跌价损失准备增减情况：</t>
        </is>
      </c>
      <c r="D1420" s="6" t="inlineStr">
        <is>
          <t>存貨跌價損失準備增減情況：</t>
        </is>
      </c>
    </row>
    <row r="1421" ht="27.6" customFormat="1" customHeight="1" s="8">
      <c r="A1421" s="6" t="inlineStr">
        <is>
          <t>Tình hình tăng giảm vốn chủ sở hữu</t>
        </is>
      </c>
      <c r="B1421" s="6" t="inlineStr">
        <is>
          <t>Increases, decreases in owner’s equity</t>
        </is>
      </c>
      <c r="C1421" s="6" t="inlineStr">
        <is>
          <t>所有者（股东）权益增减变动情形</t>
        </is>
      </c>
      <c r="D1421" s="6" t="inlineStr">
        <is>
          <t>所有者（股東）權益增減變動情形</t>
        </is>
      </c>
    </row>
    <row r="1422" ht="41.4" customFormat="1" customHeight="1" s="8">
      <c r="A1422" s="6" t="inlineStr">
        <is>
          <t>Tình hình tăng, giảm các khoản dự phòng phải thu ngắn hạn khó đòi như sau:</t>
        </is>
      </c>
      <c r="B1422" s="6" t="inlineStr">
        <is>
          <t>Increases and decreases in provision for short-term doubtful debts are as follows:</t>
        </is>
      </c>
      <c r="C1422" s="6" t="inlineStr">
        <is>
          <t>短期应收呆账准备的增减变动情况如下：</t>
        </is>
      </c>
      <c r="D1422" s="6" t="inlineStr">
        <is>
          <t>短期應收呆帳準備的增減變動情況如下：</t>
        </is>
      </c>
    </row>
    <row r="1423" ht="41.4" customFormat="1" customHeight="1" s="8">
      <c r="A1423" s="6" t="inlineStr">
        <is>
          <t>Tình hình tăng, giảm các khoản dự phòng phải thu dài hạn khó đòi như sau:</t>
        </is>
      </c>
      <c r="B1423" s="6" t="inlineStr">
        <is>
          <t>Increases and decreases in provision for long-term doubtful debts are as follows:</t>
        </is>
      </c>
      <c r="C1423" s="6" t="inlineStr">
        <is>
          <t>长期应收呆账准备的增减变动情况如下：</t>
        </is>
      </c>
      <c r="D1423" s="6" t="inlineStr">
        <is>
          <t>長期應收呆帳準備的增減變動情況如下：</t>
        </is>
      </c>
    </row>
    <row r="1424" ht="41.4" customFormat="1" customHeight="1" s="8">
      <c r="A1424" s="6" t="inlineStr">
        <is>
          <t>Tình hình tăng, giảm dự phòng giảm giá hàng tồn kho:</t>
        </is>
      </c>
      <c r="B1424" s="6" t="inlineStr">
        <is>
          <t>Increases and decreases in provision for devaluation of inventory:</t>
        </is>
      </c>
      <c r="C1424" s="6" t="inlineStr">
        <is>
          <t>存货跌价准备增减变动情况：</t>
        </is>
      </c>
      <c r="D1424" s="6" t="inlineStr">
        <is>
          <t>存貨跌價準備增減變動情況：</t>
        </is>
      </c>
    </row>
    <row r="1425" ht="27.6" customFormat="1" customHeight="1" s="8">
      <c r="A1425" s="6" t="inlineStr">
        <is>
          <t>Tình hình tăng, giảm dự phòng nợ phải thu khó đòi:</t>
        </is>
      </c>
      <c r="B1425" s="6" t="inlineStr">
        <is>
          <t>Increases and decreases in provision for doubtful debts:</t>
        </is>
      </c>
      <c r="C1425" s="6" t="inlineStr">
        <is>
          <t>应收坏账准备增减变动情况：</t>
        </is>
      </c>
      <c r="D1425" s="6" t="inlineStr">
        <is>
          <t>應收壞帳準備增減變動情形：</t>
        </is>
      </c>
    </row>
    <row r="1426" ht="27.6" customFormat="1" customHeight="1" s="8">
      <c r="A1426" s="6" t="inlineStr">
        <is>
          <t>Tình hình tăng, giảm vốn chủ sở hữu</t>
        </is>
      </c>
      <c r="B1426" s="6" t="inlineStr">
        <is>
          <t>Increases, decreases in owner’s equity</t>
        </is>
      </c>
      <c r="C1426" s="6" t="inlineStr">
        <is>
          <t>股东权益增减变动情况</t>
        </is>
      </c>
      <c r="D1426" s="6" t="inlineStr">
        <is>
          <t>股東權益增減變動情形</t>
        </is>
      </c>
    </row>
    <row r="1427" customFormat="1" s="8">
      <c r="A1427" s="6" t="inlineStr">
        <is>
          <t>Tổng cộng</t>
        </is>
      </c>
      <c r="B1427" s="6" t="inlineStr">
        <is>
          <t>Total</t>
        </is>
      </c>
      <c r="C1427" s="6" t="inlineStr">
        <is>
          <t>合计</t>
        </is>
      </c>
      <c r="D1427" s="6" t="inlineStr">
        <is>
          <t>合計</t>
        </is>
      </c>
    </row>
    <row r="1428" customFormat="1" s="8">
      <c r="A1428" s="6" t="inlineStr">
        <is>
          <t>Tổng Giám đốc</t>
        </is>
      </c>
      <c r="B1428" s="6" t="inlineStr">
        <is>
          <t>General Director</t>
        </is>
      </c>
      <c r="C1428" s="6" t="inlineStr">
        <is>
          <t>总经理</t>
        </is>
      </c>
      <c r="D1428" s="6" t="inlineStr">
        <is>
          <t>總經理</t>
        </is>
      </c>
    </row>
    <row r="1429" ht="96.59999999999999" customFormat="1" customHeight="1" s="8">
      <c r="A1429" s="6" t="inlineStr">
        <is>
          <t xml:space="preserve">Tổng Giám đốc chịu trách nhiệm đảm bảo rằng sổ sách kế toán được ghi chép một cách phù hợp để phản ánh một cách hợp lý tình hình tài chính của Công ty ở bất kỳ thời điểm nào. </t>
        </is>
      </c>
      <c r="B1429" s="6" t="inlineStr">
        <is>
          <t xml:space="preserve">General Director is responsible for ensuring that proper accounting records are kept, which disclose, with reasonable accuracy at any time, the financial position of the Company. </t>
        </is>
      </c>
      <c r="C1429" s="6" t="inlineStr">
        <is>
          <t>总经理应负责保证会计账簿适当地记载且公允地反映公司在某个时间点的财务状况。</t>
        </is>
      </c>
      <c r="D1429" s="6" t="inlineStr">
        <is>
          <t>總經理應負責保證會計帳簿適當地記載且公允地反映公司於某個時間點之財務狀況。</t>
        </is>
      </c>
    </row>
    <row r="1430" ht="248.4" customFormat="1" customHeight="1" s="8">
      <c r="A1430" s="6" t="inlineStr">
        <is>
          <t>Tổng Giám đốc Công ty chịu trách nhiệm về việc lập và trình bày trung thực và hợp lý Báo cáo tài chính của Công ty theo chuẩn mực kế toán, chế độ kế toán doanh nghiệp Việt Nam và các quy định pháp lý có liên quan đến việc lập và trình bày Báo cáo tài chính và chịu trách nhiệm về kiểm soát nội bộ mà Tổng Giám đốc xác định là cần thiết để đảm bảo cho việc lập và trình bày Báo cáo tài chính không có sai sót trọng yếu do gian lận hoặc nhầm lẫn.</t>
        </is>
      </c>
      <c r="B1430" s="6" t="inlineStr">
        <is>
          <t>General Director is responsible for the preparation and fair presentation of these financial statements in accordance with Vietnamese Accounting Standards, the Vietnamese Enterprise Accounting System and applicable regulations relevant to the preparation and presentation of financial statements and for such internal control as General Director determines is necessary to enable the preparation of financial statements that are free from material misstatement, whether due to fraud or error.</t>
        </is>
      </c>
      <c r="C1430" s="6" t="inlineStr">
        <is>
          <t>公司总经理负责按照《越南会计准则》、《越南企业会计制度》以及财务报表编制和列报的相关法规编制财务报表，并使其实现公允反映，以及对总经理确定必要的内部控制负有责任，以使财务报表的编制与列报不存在由于舞弊或错误导致的重大错报。</t>
        </is>
      </c>
      <c r="D1430" s="6" t="inlineStr">
        <is>
          <t>公司總經理負責按照《越南會計準則》、《越南企業會計制度》以及財務報表編製及列報之相關法規編製財務報表，並使其實現公允反映，以及對總經理確定必要之內部控制負有責任，以使財務報表之編製與列報不存在由於舞弊或錯誤導致之重大錯報。</t>
        </is>
      </c>
    </row>
    <row r="1431" ht="151.8" customFormat="1" customHeight="1" s="8">
      <c r="A1431" s="6" t="inlineStr">
        <is>
          <t>Tổng Giám đốc Công ty có trách nhiệm lập Báo cáo tài chính từng năm, phản ánh một cách trung thực và hợp lý tình hình tài chính của Công ty, cũng như kết quả hoạt động kinh doanh và tình hình lưu chuyển tiền tệ trong năm. Trong việc lập Báo cáo tài chính này, Tổng Giám đốc được yêu cầu phải:</t>
        </is>
      </c>
      <c r="B1431" s="6" t="inlineStr">
        <is>
          <t>General Director is responsible for preparing the financial statements of each fiscal year, which give a true and fair view of the state of affairs of the Company and of its operations and cash flows for the year. In preparing those financial statements, General Director is required to:</t>
        </is>
      </c>
      <c r="C1431" s="6" t="inlineStr">
        <is>
          <t>公司总经理应负责编制每年度的财务报表，并使其真实、公允地反映公司年度内的财务状况、营业活动结果和现金流量状况。对于本财务报表的编制，总经理必须：</t>
        </is>
      </c>
      <c r="D1431" s="6" t="inlineStr">
        <is>
          <t>公司總經理應負責編製每年度之財務報表，並使其真實、公允地反映公司年度內之財務狀況、營業活動結果以及現金流量狀況。對於本財務報表之編製，總經理必須：</t>
        </is>
      </c>
    </row>
    <row r="1432" ht="55.2" customFormat="1" customHeight="1" s="8">
      <c r="A1432" s="6" t="inlineStr">
        <is>
          <t>Tổng Giám đốc Công ty, đã điều hành Công ty trong suốt năm và đến ngày lập báo cáo.</t>
        </is>
      </c>
      <c r="B1432" s="6" t="inlineStr">
        <is>
          <t>General Director of the Company, has held business during the year and at the date of this report.</t>
        </is>
      </c>
      <c r="C1432" s="6" t="inlineStr">
        <is>
          <t>公司总经理，已经负责维持公司整年度截至编制报表当日的运作。</t>
        </is>
      </c>
      <c r="D1432" s="6" t="inlineStr">
        <is>
          <t>公司總經理，業已負責維持公司整年度截至編製報表當日之運作。</t>
        </is>
      </c>
    </row>
    <row r="1433" ht="96.59999999999999" customFormat="1" customHeight="1" s="8">
      <c r="A1433" s="6" t="inlineStr">
        <is>
          <t>Tổng Giám đốc cũng chịu trách nhiệm đảm bảo an toàn cho tài sản của Công ty và vì vậy thực hiện các biện pháp thích hợp để ngăn chặn và phát hiện các hành vi gian lận và sai phạm khác.</t>
        </is>
      </c>
      <c r="B1433" s="6" t="inlineStr">
        <is>
          <t>General Director is also responsible for safeguarding the assets of the Company and hence for taking reasonable steps for the prevention and detection of fraud and other irregularities.</t>
        </is>
      </c>
      <c r="C1433" s="6" t="inlineStr">
        <is>
          <t>总经理亦负责确保公司财产的安全，所以已采取适当措施以防止或发现舞弊及其他违法行为。</t>
        </is>
      </c>
      <c r="D1433" s="6" t="inlineStr">
        <is>
          <t>總經理亦負責確保公司財產之安全，所以已採取適當措施以防止或發現舞弊及其他違法行為。</t>
        </is>
      </c>
    </row>
    <row r="1434" customFormat="1" s="8">
      <c r="A1434" s="6" t="inlineStr">
        <is>
          <t>Tổng Giám đốc điều hành</t>
        </is>
      </c>
      <c r="B1434" s="6" t="inlineStr">
        <is>
          <t>Chief Executive Officer (CEO)</t>
        </is>
      </c>
      <c r="C1434" s="6" t="inlineStr">
        <is>
          <t>执行总监</t>
        </is>
      </c>
      <c r="D1434" s="6" t="inlineStr">
        <is>
          <t>執行總監</t>
        </is>
      </c>
    </row>
    <row r="1435" ht="69" customFormat="1" customHeight="1" s="8">
      <c r="A1435" s="6" t="inlineStr">
        <is>
          <t>Tổng Giám đốc xác nhận rằng Công ty đã tuân thủ các yêu cầu nêu trên trong việc lập Báo cáo tài chính.</t>
        </is>
      </c>
      <c r="B1435" s="6" t="inlineStr">
        <is>
          <t>General Director confirms that the Company has complied with the above requirements in preparing the financial statements.</t>
        </is>
      </c>
      <c r="C1435" s="6" t="inlineStr">
        <is>
          <t>总经理确认，公司在编制财务报表过程中已遵守上述要求。</t>
        </is>
      </c>
      <c r="D1435" s="6" t="inlineStr">
        <is>
          <t>總經理確認，公司在編製財務報表過程中已遵守上述要求。</t>
        </is>
      </c>
    </row>
    <row r="1436" customFormat="1" s="8">
      <c r="A1436" s="6" t="inlineStr">
        <is>
          <t>Tổng khoản thanh toán</t>
        </is>
      </c>
      <c r="B1436" s="6" t="inlineStr">
        <is>
          <t>Total payment</t>
        </is>
      </c>
      <c r="C1436" s="6" t="inlineStr">
        <is>
          <t>付款总额</t>
        </is>
      </c>
      <c r="D1436" s="6" t="inlineStr">
        <is>
          <t>付款總額</t>
        </is>
      </c>
    </row>
    <row r="1437" ht="27.6" customFormat="1" customHeight="1" s="8">
      <c r="A1437" s="6" t="inlineStr">
        <is>
          <t>Tổng lợi nhuận kế toán trước thuế</t>
        </is>
      </c>
      <c r="B1437" s="6" t="inlineStr">
        <is>
          <t>Net profit before tax</t>
        </is>
      </c>
      <c r="C1437" s="6" t="inlineStr">
        <is>
          <t>税前利益</t>
        </is>
      </c>
      <c r="D1437" s="6" t="inlineStr">
        <is>
          <t>稅前利益</t>
        </is>
      </c>
    </row>
    <row r="1438" ht="27.6" customFormat="1" customHeight="1" s="8">
      <c r="A1438" s="6" t="inlineStr">
        <is>
          <t>Trả hộ chi phí dịch vụ mua ngoài</t>
        </is>
      </c>
      <c r="B1438" s="6" t="inlineStr">
        <is>
          <t>On-behalf payments for outsourcing expenses</t>
        </is>
      </c>
      <c r="C1438" s="6" t="inlineStr">
        <is>
          <t>代付外包劳务费</t>
        </is>
      </c>
      <c r="D1438" s="6" t="inlineStr">
        <is>
          <t>代付外包勞務費</t>
        </is>
      </c>
    </row>
    <row r="1439" customFormat="1" s="8">
      <c r="A1439" s="6" t="inlineStr">
        <is>
          <t>Trả lãi</t>
        </is>
      </c>
      <c r="B1439" s="6" t="inlineStr">
        <is>
          <t>Interest payment</t>
        </is>
      </c>
      <c r="C1439" s="6" t="inlineStr">
        <is>
          <t>利息支付</t>
        </is>
      </c>
      <c r="D1439" s="6" t="inlineStr">
        <is>
          <t>利息支付</t>
        </is>
      </c>
    </row>
    <row r="1440" customFormat="1" s="8">
      <c r="A1440" s="6" t="inlineStr">
        <is>
          <t>Trả lại trong năm</t>
        </is>
      </c>
      <c r="B1440" s="6" t="inlineStr">
        <is>
          <t>Returns</t>
        </is>
      </c>
      <c r="C1440" s="6" t="inlineStr">
        <is>
          <t>年度内退还</t>
        </is>
      </c>
      <c r="D1440" s="6" t="inlineStr">
        <is>
          <t>年度內退還</t>
        </is>
      </c>
    </row>
    <row r="1441" customFormat="1" s="8">
      <c r="A1441" s="6" t="inlineStr">
        <is>
          <t>Trả lãi vay</t>
        </is>
      </c>
      <c r="B1441" s="6" t="inlineStr">
        <is>
          <t>Payment of loan interest</t>
        </is>
      </c>
      <c r="C1441" s="6" t="inlineStr">
        <is>
          <t>支付借款利息</t>
        </is>
      </c>
      <c r="D1441" s="6" t="inlineStr">
        <is>
          <t>支付借款利息</t>
        </is>
      </c>
    </row>
    <row r="1442" ht="27.6" customFormat="1" customHeight="1" s="8">
      <c r="A1442" s="6" t="inlineStr">
        <is>
          <t>Trả ngay hoặc trả trong vòng một năm</t>
        </is>
      </c>
      <c r="B1442" s="6" t="inlineStr">
        <is>
          <t>On demand or within one year</t>
        </is>
      </c>
      <c r="C1442" s="6" t="inlineStr">
        <is>
          <t>应要求或一年以内偿还</t>
        </is>
      </c>
      <c r="D1442" s="6" t="inlineStr">
        <is>
          <t>應要求或一年以內償還</t>
        </is>
      </c>
    </row>
    <row r="1443" ht="27.6" customFormat="1" customHeight="1" s="8">
      <c r="A1443" s="6" t="inlineStr">
        <is>
          <t>Trả nợ gốc</t>
        </is>
      </c>
      <c r="B1443" s="6" t="inlineStr">
        <is>
          <t>Repayment of borrowings’ principal</t>
        </is>
      </c>
      <c r="C1443" s="6" t="inlineStr">
        <is>
          <t>本金支付</t>
        </is>
      </c>
      <c r="D1443" s="6" t="inlineStr">
        <is>
          <t>本金支付</t>
        </is>
      </c>
    </row>
    <row r="1444" ht="27.6" customFormat="1" customHeight="1" s="8">
      <c r="A1444" s="6" t="inlineStr">
        <is>
          <t>Trả nợ gốc vay</t>
        </is>
      </c>
      <c r="B1444" s="6" t="inlineStr">
        <is>
          <t>Repayment of borrowings’ principal</t>
        </is>
      </c>
      <c r="C1444" s="6" t="inlineStr">
        <is>
          <t>偿付借款本金</t>
        </is>
      </c>
      <c r="D1444" s="6" t="inlineStr">
        <is>
          <t>償付借款本金</t>
        </is>
      </c>
    </row>
    <row r="1445" customFormat="1" s="8">
      <c r="A1445" s="6" t="inlineStr">
        <is>
          <t>Trả nợ vay</t>
        </is>
      </c>
      <c r="B1445" s="6" t="inlineStr">
        <is>
          <t>Repayment of borrowings</t>
        </is>
      </c>
      <c r="C1445" s="6" t="inlineStr">
        <is>
          <t>偿还借款本金</t>
        </is>
      </c>
      <c r="D1445" s="6" t="inlineStr">
        <is>
          <t>償還借款本金</t>
        </is>
      </c>
    </row>
    <row r="1446" ht="27.6" customFormat="1" customHeight="1" s="8">
      <c r="A1446" s="6" t="inlineStr">
        <is>
          <t>Trả tiền gốc vay</t>
        </is>
      </c>
      <c r="B1446" s="6" t="inlineStr">
        <is>
          <t>Repayment of borrowings’ principal</t>
        </is>
      </c>
      <c r="C1446" s="6" t="inlineStr">
        <is>
          <t>偿还借款本金</t>
        </is>
      </c>
      <c r="D1446" s="6" t="inlineStr">
        <is>
          <t>償還借款本金</t>
        </is>
      </c>
    </row>
    <row r="1447" customFormat="1" s="8">
      <c r="A1447" s="6" t="inlineStr">
        <is>
          <t>Trả tiền mượn</t>
        </is>
      </c>
      <c r="B1447" s="6" t="inlineStr">
        <is>
          <t>Repayment of borrowings</t>
        </is>
      </c>
      <c r="C1447" s="6" t="inlineStr">
        <is>
          <t>偿还借用款</t>
        </is>
      </c>
      <c r="D1447" s="6" t="inlineStr">
        <is>
          <t>償還借用款</t>
        </is>
      </c>
    </row>
    <row r="1448" customFormat="1" s="8">
      <c r="A1448" s="6" t="inlineStr">
        <is>
          <t>Trả tiền vay</t>
        </is>
      </c>
      <c r="B1448" s="6" t="inlineStr">
        <is>
          <t>Repayment of borrowings</t>
        </is>
      </c>
      <c r="C1448" s="6" t="inlineStr">
        <is>
          <t>偿还借款本金</t>
        </is>
      </c>
      <c r="D1448" s="6" t="inlineStr">
        <is>
          <t>償還借款本金</t>
        </is>
      </c>
    </row>
    <row r="1449" customFormat="1" s="8">
      <c r="A1449" s="6" t="inlineStr">
        <is>
          <t>Trả trong năm</t>
        </is>
      </c>
      <c r="B1449" s="6" t="inlineStr">
        <is>
          <t>Repaid in current year</t>
        </is>
      </c>
      <c r="C1449" s="6" t="inlineStr">
        <is>
          <t>年度内偿付</t>
        </is>
      </c>
      <c r="D1449" s="6" t="inlineStr">
        <is>
          <t>年度內償付</t>
        </is>
      </c>
    </row>
    <row r="1450" customFormat="1" s="8">
      <c r="A1450" s="6" t="inlineStr">
        <is>
          <t>Trả trước cho người bán</t>
        </is>
      </c>
      <c r="B1450" s="6" t="inlineStr">
        <is>
          <t>Advances to suppliers</t>
        </is>
      </c>
      <c r="C1450" s="6" t="inlineStr">
        <is>
          <t>预付货款</t>
        </is>
      </c>
      <c r="D1450" s="6" t="inlineStr">
        <is>
          <t>預付貨款</t>
        </is>
      </c>
    </row>
    <row r="1451" ht="27.6" customFormat="1" customHeight="1" s="8">
      <c r="A1451" s="6" t="inlineStr">
        <is>
          <t>Trả trước cho người bán dài hạn</t>
        </is>
      </c>
      <c r="B1451" s="6" t="inlineStr">
        <is>
          <t>Long-term advances to suppliers</t>
        </is>
      </c>
      <c r="C1451" s="6" t="inlineStr">
        <is>
          <t>长期预付货款</t>
        </is>
      </c>
      <c r="D1451" s="6" t="inlineStr">
        <is>
          <t>長期預付貨款</t>
        </is>
      </c>
    </row>
    <row r="1452" ht="27.6" customFormat="1" customHeight="1" s="8">
      <c r="A1452" s="6" t="inlineStr">
        <is>
          <t>Trả trước cho người bán ngắn hạn</t>
        </is>
      </c>
      <c r="B1452" s="6" t="inlineStr">
        <is>
          <t>Short-term advances to suppliers</t>
        </is>
      </c>
      <c r="C1452" s="6" t="inlineStr">
        <is>
          <t>短期预付货款</t>
        </is>
      </c>
      <c r="D1452" s="6" t="inlineStr">
        <is>
          <t>短期預付貨款</t>
        </is>
      </c>
    </row>
    <row r="1453" ht="27.6" customFormat="1" customHeight="1" s="8">
      <c r="A1453" s="6" t="inlineStr">
        <is>
          <t>Trả trước cho người bán ngắn hạn và dài hạn</t>
        </is>
      </c>
      <c r="B1453" s="6" t="inlineStr">
        <is>
          <t>Short-term and long-term advances to suppliers</t>
        </is>
      </c>
      <c r="C1453" s="6" t="inlineStr">
        <is>
          <t>短期和长期预付货款</t>
        </is>
      </c>
      <c r="D1453" s="6" t="inlineStr">
        <is>
          <t>短期和長期預付貨款</t>
        </is>
      </c>
    </row>
    <row r="1454" ht="27.6" customFormat="1" customHeight="1" s="8">
      <c r="A1454" s="6" t="inlineStr">
        <is>
          <t>Trả trước cho người bán ngắn hạn, dài hạn</t>
        </is>
      </c>
      <c r="B1454" s="6" t="inlineStr">
        <is>
          <t>Short-term and long-term advances to suppliers</t>
        </is>
      </c>
      <c r="C1454" s="6" t="inlineStr">
        <is>
          <t>短期及长期预付货款</t>
        </is>
      </c>
      <c r="D1454" s="6" t="inlineStr">
        <is>
          <t>短期及長期預付貨款</t>
        </is>
      </c>
    </row>
    <row r="1455" ht="27.6" customFormat="1" customHeight="1" s="8">
      <c r="A1455" s="6" t="inlineStr">
        <is>
          <t>Trả trước về thuê nhà xưởng</t>
        </is>
      </c>
      <c r="B1455" s="6" t="inlineStr">
        <is>
          <t>Prepaid payments for factory rent</t>
        </is>
      </c>
      <c r="C1455" s="6" t="inlineStr">
        <is>
          <t>預付工厂租金</t>
        </is>
      </c>
      <c r="D1455" s="6" t="inlineStr">
        <is>
          <t>預付工廠租金</t>
        </is>
      </c>
    </row>
    <row r="1456" customFormat="1" s="8">
      <c r="A1456" s="6" t="inlineStr">
        <is>
          <t>Trả vay</t>
        </is>
      </c>
      <c r="B1456" s="6" t="inlineStr">
        <is>
          <t>Repayment of borrowings</t>
        </is>
      </c>
      <c r="C1456" s="6" t="inlineStr">
        <is>
          <t>偿还贷款</t>
        </is>
      </c>
      <c r="D1456" s="6" t="inlineStr">
        <is>
          <t>償還貸款</t>
        </is>
      </c>
    </row>
    <row r="1457" ht="27.6" customFormat="1" customHeight="1" s="8">
      <c r="A1457" s="6" t="inlineStr">
        <is>
          <t>Trả vay dài hạn</t>
        </is>
      </c>
      <c r="B1457" s="6" t="inlineStr">
        <is>
          <t>Repayment of long-term borrowings</t>
        </is>
      </c>
      <c r="C1457" s="6" t="inlineStr">
        <is>
          <t>偿还长期借款</t>
        </is>
      </c>
      <c r="D1457" s="6" t="inlineStr">
        <is>
          <t>償還長期借款</t>
        </is>
      </c>
    </row>
    <row r="1458" ht="41.4" customFormat="1" customHeight="1" s="8">
      <c r="A1458" s="6" t="inlineStr">
        <is>
          <t>Trách nhiệm của Ban Giám đốc</t>
        </is>
      </c>
      <c r="B1458" s="6" t="inlineStr">
        <is>
          <t>The Board of Management’s responsibility for the financial statements</t>
        </is>
      </c>
      <c r="C1458" s="6" t="inlineStr">
        <is>
          <t>管理阶层的责任</t>
        </is>
      </c>
      <c r="D1458" s="6" t="inlineStr">
        <is>
          <t>管理階層之責任</t>
        </is>
      </c>
    </row>
    <row r="1459" ht="41.4" customFormat="1" customHeight="1" s="8">
      <c r="A1459" s="6" t="inlineStr">
        <is>
          <t>Trách nhiệm của Ban Tổng Giám đốc</t>
        </is>
      </c>
      <c r="B1459" s="6" t="inlineStr">
        <is>
          <t>Responsibility for the financial statements of the Board of General Directors</t>
        </is>
      </c>
      <c r="C1459" s="6" t="inlineStr">
        <is>
          <t>管理阶层的责任</t>
        </is>
      </c>
      <c r="D1459" s="6" t="inlineStr">
        <is>
          <t>管理階層之責任</t>
        </is>
      </c>
    </row>
    <row r="1460" ht="27.6" customFormat="1" customHeight="1" s="8">
      <c r="A1460" s="6" t="inlineStr">
        <is>
          <t>Trách nhiệm của Chủ tịch</t>
        </is>
      </c>
      <c r="B1460" s="6" t="inlineStr">
        <is>
          <t>Chairman’s responsibility for the financial statements</t>
        </is>
      </c>
      <c r="C1460" s="6" t="inlineStr">
        <is>
          <t>董事长的责任</t>
        </is>
      </c>
      <c r="D1460" s="6" t="inlineStr">
        <is>
          <t>董事長之責任</t>
        </is>
      </c>
    </row>
    <row r="1461" ht="207" customFormat="1" customHeight="1" s="8">
      <c r="A1461" s="6" t="inlineStr">
        <is>
          <t>Trách nhiệm của chúng tôi là đưa ra ý kiến về Báo cáo tài chính dựa trên kết quả của cuộc kiểm toán. Chúng tôi đã tiến hành kiểm toán theo các chuẩn mực kiểm toán Việt Nam. Các chuẩn mực này yêu cầu chúng tôi tuân thủ chuẩn mực và các quy định về đạo đức nghề nghiệp, lập kế hoạch và thực hiện cuộc kiểm toán để đạt được sự đảm bảo hợp lý về việc liệu Báo cáo tài chính của Công ty có còn sai sót trọng yếu hay không.</t>
        </is>
      </c>
      <c r="B1461" s="6" t="inlineStr">
        <is>
          <t>Our responsibility is to express an opinion on these financial statements based on our audit. We conducted our audit in accordance with Vietnamese Standards on Auditing. Those standards require that we comply with ethical requirements and plan and perform the audit to obtain reasonable assurance about whether the financial statements are free from material misstatement.</t>
        </is>
      </c>
      <c r="C1461" s="6" t="inlineStr">
        <is>
          <t>本会计师的责任则为根据查核结果对上开财务报表表示意见。本会计师按照《越南注册会计师审计准则》进行查核工作。其准则要求本会计师遵守审计准则和职业道德守则，规划并执行查核工作，以合理确信财务报表有无重大不实表达。</t>
        </is>
      </c>
      <c r="D1461" s="6" t="inlineStr">
        <is>
          <t>本會計師之責任則為根據查核結果對上開財務報表表示意見。本會計師按照《越南註冊會計師審計準則》進行查核工作。其準則要求本會計師遵守審計準則和職業道德守則，規劃並執行查核工作，以合理確信財務報表有無重大不實表達。</t>
        </is>
      </c>
    </row>
    <row r="1462" ht="27.6" customFormat="1" customHeight="1" s="8">
      <c r="A1462" s="6" t="inlineStr">
        <is>
          <t>Trách nhiệm của Giám đốc</t>
        </is>
      </c>
      <c r="B1462" s="6" t="inlineStr">
        <is>
          <t>Director’s responsibility for the financial statements</t>
        </is>
      </c>
      <c r="C1462" s="6" t="inlineStr">
        <is>
          <t>经理的责任</t>
        </is>
      </c>
      <c r="D1462" s="6" t="inlineStr">
        <is>
          <t>經理之責任</t>
        </is>
      </c>
    </row>
    <row r="1463" ht="41.4" customFormat="1" customHeight="1" s="8">
      <c r="A1463" s="6" t="inlineStr">
        <is>
          <t>Trách nhiệm của Giám đốc điều hành</t>
        </is>
      </c>
      <c r="B1463" s="6" t="inlineStr">
        <is>
          <t>Managing Director’s responsibility for the financial statements</t>
        </is>
      </c>
      <c r="C1463" s="6" t="inlineStr">
        <is>
          <t>执行总监的责任</t>
        </is>
      </c>
      <c r="D1463" s="6" t="inlineStr">
        <is>
          <t>執行總監之責任</t>
        </is>
      </c>
    </row>
    <row r="1464" ht="41.4" customFormat="1" customHeight="1" s="8">
      <c r="A1464" s="6" t="inlineStr">
        <is>
          <t>Trách nhiệm của Hội đồng Quản trị</t>
        </is>
      </c>
      <c r="B1464" s="6" t="inlineStr">
        <is>
          <t>The Board of Directors’ responsibility for the financial statements</t>
        </is>
      </c>
      <c r="C1464" s="6" t="inlineStr">
        <is>
          <t>董事会的责任</t>
        </is>
      </c>
      <c r="D1464" s="6" t="inlineStr">
        <is>
          <t>董事會之責任</t>
        </is>
      </c>
    </row>
    <row r="1465" ht="41.4" customFormat="1" customHeight="1" s="8">
      <c r="A1465" s="6" t="inlineStr">
        <is>
          <t>Trách nhiệm của Hội đồng Thành viên</t>
        </is>
      </c>
      <c r="B1465" s="6" t="inlineStr">
        <is>
          <t>The Board of Members’ responsibility for the financial statements</t>
        </is>
      </c>
      <c r="C1465" s="6" t="inlineStr">
        <is>
          <t>董事会的责任</t>
        </is>
      </c>
      <c r="D1465" s="6" t="inlineStr">
        <is>
          <t>董事會之責任</t>
        </is>
      </c>
    </row>
    <row r="1466" ht="27.6" customFormat="1" customHeight="1" s="8">
      <c r="A1466" s="6" t="inlineStr">
        <is>
          <t>Trách nhiệm của Kiểm toán viên</t>
        </is>
      </c>
      <c r="B1466" s="6" t="inlineStr">
        <is>
          <t>Auditor’s responsibility</t>
        </is>
      </c>
      <c r="C1466" s="6" t="inlineStr">
        <is>
          <t>会计师的责任</t>
        </is>
      </c>
      <c r="D1466" s="6" t="inlineStr">
        <is>
          <t>會計師之責任</t>
        </is>
      </c>
    </row>
    <row r="1467" ht="41.4" customFormat="1" customHeight="1" s="8">
      <c r="A1467" s="6" t="inlineStr">
        <is>
          <t>Trách nhiệm của Tổng Giám đốc</t>
        </is>
      </c>
      <c r="B1467" s="6" t="inlineStr">
        <is>
          <t>General Director’s responsibility for the financial statements</t>
        </is>
      </c>
      <c r="C1467" s="6" t="inlineStr">
        <is>
          <t>总经理的责任</t>
        </is>
      </c>
      <c r="D1467" s="6" t="inlineStr">
        <is>
          <t>總經理之責任</t>
        </is>
      </c>
    </row>
    <row r="1468" customFormat="1" s="8">
      <c r="A1468" s="6" t="inlineStr">
        <is>
          <t>Trái phiếu</t>
        </is>
      </c>
      <c r="B1468" s="6" t="inlineStr">
        <is>
          <t>Bonds</t>
        </is>
      </c>
      <c r="C1468" s="6" t="inlineStr">
        <is>
          <t>债券</t>
        </is>
      </c>
      <c r="D1468" s="6" t="inlineStr">
        <is>
          <t>債券</t>
        </is>
      </c>
    </row>
    <row r="1469" customFormat="1" s="8">
      <c r="A1469" s="6" t="inlineStr">
        <is>
          <t>Trái phiếu chuyển đổi</t>
        </is>
      </c>
      <c r="B1469" s="6" t="inlineStr">
        <is>
          <t>Convertible bonds</t>
        </is>
      </c>
      <c r="C1469" s="6" t="inlineStr">
        <is>
          <t>可转换债券</t>
        </is>
      </c>
      <c r="D1469" s="6" t="inlineStr">
        <is>
          <t>可轉換債券</t>
        </is>
      </c>
    </row>
    <row r="1470" customFormat="1" s="8">
      <c r="A1470" s="6" t="inlineStr">
        <is>
          <t>TRANG</t>
        </is>
      </c>
      <c r="B1470" s="6" t="inlineStr">
        <is>
          <t>PAGE(S)</t>
        </is>
      </c>
      <c r="C1470" s="6" t="inlineStr">
        <is>
          <t>页次</t>
        </is>
      </c>
      <c r="D1470" s="6" t="inlineStr">
        <is>
          <t>頁次</t>
        </is>
      </c>
    </row>
    <row r="1471" customFormat="1" s="8">
      <c r="A1471" s="6" t="inlineStr">
        <is>
          <t>Trên 5 năm</t>
        </is>
      </c>
      <c r="B1471" s="6" t="inlineStr">
        <is>
          <t>Over 05 years</t>
        </is>
      </c>
      <c r="C1471" s="6" t="inlineStr">
        <is>
          <t>五年以上</t>
        </is>
      </c>
      <c r="D1471" s="6" t="inlineStr">
        <is>
          <t>五年以上</t>
        </is>
      </c>
    </row>
    <row r="1472" customFormat="1" s="8">
      <c r="A1472" s="6" t="inlineStr">
        <is>
          <t>Trị giá (USD)</t>
        </is>
      </c>
      <c r="B1472" s="6" t="inlineStr">
        <is>
          <t>Amount (USD)</t>
        </is>
      </c>
      <c r="C1472" s="6" t="inlineStr">
        <is>
          <t>金额（美元）</t>
        </is>
      </c>
      <c r="D1472" s="6" t="inlineStr">
        <is>
          <t>金額（美元）</t>
        </is>
      </c>
    </row>
    <row r="1473" ht="27.6" customFormat="1" customHeight="1" s="8">
      <c r="A1473" s="6" t="inlineStr">
        <is>
          <t>Trích lãi phải thu về cho vay dài hạn</t>
        </is>
      </c>
      <c r="B1473" s="6" t="inlineStr">
        <is>
          <t>Accrual for interest on long-term loans receivable</t>
        </is>
      </c>
      <c r="C1473" s="6" t="inlineStr">
        <is>
          <t>长期贷款应收利息提列</t>
        </is>
      </c>
      <c r="D1473" s="6" t="inlineStr">
        <is>
          <t>長期貸款應收利息提列</t>
        </is>
      </c>
    </row>
    <row r="1474" ht="27.6" customFormat="1" customHeight="1" s="8">
      <c r="A1474" s="6" t="inlineStr">
        <is>
          <t>Trích lãi phải thu về cho vay ngắn hạn</t>
        </is>
      </c>
      <c r="B1474" s="6" t="inlineStr">
        <is>
          <t>Accrual for interest on short-term loans receivable</t>
        </is>
      </c>
      <c r="C1474" s="6" t="inlineStr">
        <is>
          <t>短期贷款应收利息提列</t>
        </is>
      </c>
      <c r="D1474" s="6" t="inlineStr">
        <is>
          <t>短期貸款應收利息提列</t>
        </is>
      </c>
    </row>
    <row r="1475" customFormat="1" s="8">
      <c r="A1475" s="6" t="inlineStr">
        <is>
          <t>Trích lập trong năm</t>
        </is>
      </c>
      <c r="B1475" s="6" t="inlineStr">
        <is>
          <t>Addition</t>
        </is>
      </c>
      <c r="C1475" s="6" t="inlineStr">
        <is>
          <t>年度内计提数</t>
        </is>
      </c>
      <c r="D1475" s="6" t="inlineStr">
        <is>
          <t>年度內計提數</t>
        </is>
      </c>
    </row>
    <row r="1476" ht="27.6" customFormat="1" customHeight="1" s="8">
      <c r="A1476" s="6" t="inlineStr">
        <is>
          <t>Trích quỹ đầu tư và phát triển</t>
        </is>
      </c>
      <c r="B1476" s="6" t="inlineStr">
        <is>
          <t>Provided by investment and development fund</t>
        </is>
      </c>
      <c r="C1476" s="6" t="inlineStr">
        <is>
          <t>提取企业投资发展基金</t>
        </is>
      </c>
      <c r="D1476" s="6" t="inlineStr">
        <is>
          <t>提取企業投資發展基金</t>
        </is>
      </c>
    </row>
    <row r="1477" ht="27.6" customFormat="1" customHeight="1" s="8">
      <c r="A1477" s="6" t="inlineStr">
        <is>
          <t>Trích trước các chi phí chưa có hóa đơn</t>
        </is>
      </c>
      <c r="B1477" s="6" t="inlineStr">
        <is>
          <t>Accrual for expenses with unreceived invoices</t>
        </is>
      </c>
      <c r="C1477" s="6" t="inlineStr">
        <is>
          <t>预提当期未开立发票的费用</t>
        </is>
      </c>
      <c r="D1477" s="6" t="inlineStr">
        <is>
          <t>預提當期未開立發票的費用</t>
        </is>
      </c>
    </row>
    <row r="1478" ht="27.6" customFormat="1" customHeight="1" s="8">
      <c r="A1478" s="6" t="inlineStr">
        <is>
          <t>Trích trước các chi phí chưa nhận được hóa đơn</t>
        </is>
      </c>
      <c r="B1478" s="6" t="inlineStr">
        <is>
          <t>Accrual for expenses with no invoices received</t>
        </is>
      </c>
      <c r="C1478" s="6" t="inlineStr">
        <is>
          <t>未取得发票的预提费用</t>
        </is>
      </c>
      <c r="D1478" s="6" t="inlineStr">
        <is>
          <t>未取得發票之預提費用</t>
        </is>
      </c>
    </row>
    <row r="1479" ht="27.6" customFormat="1" customHeight="1" s="8">
      <c r="A1479" s="6" t="inlineStr">
        <is>
          <t>Trích trước các khoản phải trả người lao động</t>
        </is>
      </c>
      <c r="B1479" s="6" t="inlineStr">
        <is>
          <t>Accrual for the payables to employees</t>
        </is>
      </c>
      <c r="C1479" s="6" t="inlineStr">
        <is>
          <t>预提应付员工款项</t>
        </is>
      </c>
      <c r="D1479" s="6" t="inlineStr">
        <is>
          <t>預提應付員工款項</t>
        </is>
      </c>
    </row>
    <row r="1480" customFormat="1" s="8">
      <c r="A1480" s="6" t="inlineStr">
        <is>
          <t>Trích trước chi phí</t>
        </is>
      </c>
      <c r="B1480" s="6" t="inlineStr">
        <is>
          <t>Accrued expenses</t>
        </is>
      </c>
      <c r="C1480" s="6" t="inlineStr">
        <is>
          <t>应计费用</t>
        </is>
      </c>
      <c r="D1480" s="6" t="inlineStr">
        <is>
          <t>應計費用</t>
        </is>
      </c>
    </row>
    <row r="1481" ht="27.6" customFormat="1" customHeight="1" s="8">
      <c r="A1481" s="6" t="inlineStr">
        <is>
          <t>Trích trước chi phí chưa nhận hóa đơn</t>
        </is>
      </c>
      <c r="B1481" s="6" t="inlineStr">
        <is>
          <t>Accrual for expenses with unreceived invoices</t>
        </is>
      </c>
      <c r="C1481" s="6" t="inlineStr">
        <is>
          <t>未取得发票的预提费用</t>
        </is>
      </c>
      <c r="D1481" s="6" t="inlineStr">
        <is>
          <t>未取得發票之預提費用</t>
        </is>
      </c>
    </row>
    <row r="1482" ht="27.6" customFormat="1" customHeight="1" s="8">
      <c r="A1482" s="6" t="inlineStr">
        <is>
          <t>Trích trước chi phí đào tạo cho nhân viên</t>
        </is>
      </c>
      <c r="B1482" s="6" t="inlineStr">
        <is>
          <t>Accrual for employees’ training costs</t>
        </is>
      </c>
      <c r="C1482" s="6" t="inlineStr">
        <is>
          <t>预提员工培训费用</t>
        </is>
      </c>
      <c r="D1482" s="6" t="inlineStr">
        <is>
          <t>預提員工培訓費用</t>
        </is>
      </c>
    </row>
    <row r="1483" customFormat="1" s="8">
      <c r="A1483" s="6" t="inlineStr">
        <is>
          <t>Trích trước chi phí kiểm toán</t>
        </is>
      </c>
      <c r="B1483" s="6" t="inlineStr">
        <is>
          <t>Accrual for audit fees</t>
        </is>
      </c>
      <c r="C1483" s="6" t="inlineStr">
        <is>
          <t>预提审计费用</t>
        </is>
      </c>
      <c r="D1483" s="6" t="inlineStr">
        <is>
          <t>預提審計費用</t>
        </is>
      </c>
    </row>
    <row r="1484" customFormat="1" s="8">
      <c r="A1484" s="6" t="inlineStr">
        <is>
          <t>Trích trước chi phí lãi vay</t>
        </is>
      </c>
      <c r="B1484" s="6" t="inlineStr">
        <is>
          <t>Accrual for interest expenses</t>
        </is>
      </c>
      <c r="C1484" s="6" t="inlineStr">
        <is>
          <t>预提利息费用</t>
        </is>
      </c>
      <c r="D1484" s="6" t="inlineStr">
        <is>
          <t>預提利息費用</t>
        </is>
      </c>
    </row>
    <row r="1485" ht="27.6" customFormat="1" customHeight="1" s="8">
      <c r="A1485" s="6" t="inlineStr">
        <is>
          <t>Trích trước chi phí lãi vay - Bên liên quan</t>
        </is>
      </c>
      <c r="B1485" s="6" t="inlineStr">
        <is>
          <t>Accrual for interest expenses - Related parties</t>
        </is>
      </c>
      <c r="C1485" s="6" t="inlineStr">
        <is>
          <t>预提利息费用-关联方</t>
        </is>
      </c>
      <c r="D1485" s="6" t="inlineStr">
        <is>
          <t>預提利息費用-關聯方</t>
        </is>
      </c>
    </row>
    <row r="1486" ht="27.6" customFormat="1" customHeight="1" s="8">
      <c r="A1486" s="6" t="inlineStr">
        <is>
          <t>Trích trước chi phí lãi vay Bên liên quan</t>
        </is>
      </c>
      <c r="B1486" s="6" t="inlineStr">
        <is>
          <t>Accrual for interest expenses Related parties</t>
        </is>
      </c>
      <c r="C1486" s="6" t="inlineStr">
        <is>
          <t>关联方 – 预提利息费用</t>
        </is>
      </c>
      <c r="D1486" s="6" t="inlineStr">
        <is>
          <t>關聯方 – 預提利息費用</t>
        </is>
      </c>
    </row>
    <row r="1487" ht="27.6" customFormat="1" customHeight="1" s="8">
      <c r="A1487" s="6" t="inlineStr">
        <is>
          <t>Trích trước chi phí mua ngoài</t>
        </is>
      </c>
      <c r="B1487" s="6" t="inlineStr">
        <is>
          <t>Accrual for outsourcing expenses</t>
        </is>
      </c>
      <c r="C1487" s="6" t="inlineStr">
        <is>
          <t>预提外包劳务费</t>
        </is>
      </c>
      <c r="D1487" s="6" t="inlineStr">
        <is>
          <t>預提外包勞務費</t>
        </is>
      </c>
    </row>
    <row r="1488" ht="27.6" customFormat="1" customHeight="1" s="8">
      <c r="A1488" s="6" t="inlineStr">
        <is>
          <t>Trích trước chi phí nhân công thuê ngoài</t>
        </is>
      </c>
      <c r="B1488" s="6" t="inlineStr">
        <is>
          <t>Accrual for outsourcing labor costs</t>
        </is>
      </c>
      <c r="C1488" s="6" t="inlineStr">
        <is>
          <t>预提外包劳务成本</t>
        </is>
      </c>
      <c r="D1488" s="6" t="inlineStr">
        <is>
          <t>預提委外勞務成本</t>
        </is>
      </c>
    </row>
    <row r="1489" ht="27.6" customFormat="1" customHeight="1" s="8">
      <c r="A1489" s="6" t="inlineStr">
        <is>
          <t>Trích trước chi phí quyết toán thuế</t>
        </is>
      </c>
      <c r="B1489" s="6" t="inlineStr">
        <is>
          <t>Accrual for tax finalization fees</t>
        </is>
      </c>
      <c r="C1489" s="6" t="inlineStr">
        <is>
          <t>预提税务结算费用</t>
        </is>
      </c>
      <c r="D1489" s="6" t="inlineStr">
        <is>
          <t>預提稅務結算費用</t>
        </is>
      </c>
    </row>
    <row r="1490" customFormat="1" s="8">
      <c r="A1490" s="6" t="inlineStr">
        <is>
          <t>Trích trước chi phí tiền lương</t>
        </is>
      </c>
      <c r="B1490" s="6" t="inlineStr">
        <is>
          <t>Accrual for salary expenses</t>
        </is>
      </c>
      <c r="C1490" s="6" t="inlineStr">
        <is>
          <t>预提薪资费用</t>
        </is>
      </c>
      <c r="D1490" s="6" t="inlineStr">
        <is>
          <t>預提薪資費用</t>
        </is>
      </c>
    </row>
    <row r="1491" ht="27.6" customFormat="1" customHeight="1" s="8">
      <c r="A1491" s="6" t="inlineStr">
        <is>
          <t>Trích trước chi phí tiền lương trong thời gian nghỉ phép</t>
        </is>
      </c>
      <c r="B1491" s="6" t="inlineStr">
        <is>
          <t>Accrual for annual leave pay</t>
        </is>
      </c>
      <c r="C1491" s="6" t="inlineStr">
        <is>
          <t>预提休假薪资费用</t>
        </is>
      </c>
      <c r="D1491" s="6" t="inlineStr">
        <is>
          <t>預提休假薪資費用</t>
        </is>
      </c>
    </row>
    <row r="1492" ht="27.6" customFormat="1" customHeight="1" s="8">
      <c r="A1492" s="6" t="inlineStr">
        <is>
          <t>Trích trước chi phí tư vấn phải trả</t>
        </is>
      </c>
      <c r="B1492" s="6" t="inlineStr">
        <is>
          <t>Accrual for consulting fees</t>
        </is>
      </c>
      <c r="C1492" s="6" t="inlineStr">
        <is>
          <t>预提应付顾问费</t>
        </is>
      </c>
      <c r="D1492" s="6" t="inlineStr">
        <is>
          <t>預提應付顧問費</t>
        </is>
      </c>
    </row>
    <row r="1493" customFormat="1" s="8">
      <c r="A1493" s="6" t="inlineStr">
        <is>
          <t>Trích trước chi phí tư vấn thuế</t>
        </is>
      </c>
      <c r="B1493" s="6" t="inlineStr">
        <is>
          <t>Accrual for tax consulting fees</t>
        </is>
      </c>
      <c r="C1493" s="6" t="inlineStr">
        <is>
          <t>预提税务咨询劳务费</t>
        </is>
      </c>
      <c r="D1493" s="6" t="inlineStr">
        <is>
          <t>預提稅務咨詢勞務費</t>
        </is>
      </c>
    </row>
    <row r="1494" ht="27.6" customFormat="1" customHeight="1" s="8">
      <c r="A1494" s="6" t="inlineStr">
        <is>
          <t>Trích trước lãi tiền gửi có kỳ hạn</t>
        </is>
      </c>
      <c r="B1494" s="16" t="inlineStr">
        <is>
          <t>Accrual for interest on term deposits</t>
        </is>
      </c>
      <c r="C1494" s="16" t="inlineStr">
        <is>
          <t>预提定期存款利息</t>
        </is>
      </c>
      <c r="D1494" s="16" t="inlineStr">
        <is>
          <t>預提定期存款利息</t>
        </is>
      </c>
    </row>
    <row r="1495" customFormat="1" s="8">
      <c r="A1495" s="6" t="inlineStr">
        <is>
          <t>Trích trước phí dịch vụ kế toán</t>
        </is>
      </c>
      <c r="B1495" s="6" t="inlineStr">
        <is>
          <t>Accrual for accounting fees</t>
        </is>
      </c>
      <c r="C1495" s="6" t="inlineStr">
        <is>
          <t>预提会计劳务费</t>
        </is>
      </c>
      <c r="D1495" s="6" t="inlineStr">
        <is>
          <t>預提會計勞務費</t>
        </is>
      </c>
    </row>
    <row r="1496" customFormat="1" s="8">
      <c r="A1496" s="6" t="inlineStr">
        <is>
          <t>Trích trước phí kiểm toán</t>
        </is>
      </c>
      <c r="B1496" s="6" t="inlineStr">
        <is>
          <t>Accrual for audit fees</t>
        </is>
      </c>
      <c r="C1496" s="6" t="inlineStr">
        <is>
          <t>预提审计劳务费</t>
        </is>
      </c>
      <c r="D1496" s="6" t="inlineStr">
        <is>
          <t>預提審計勞務費</t>
        </is>
      </c>
    </row>
    <row r="1497" ht="27.6" customFormat="1" customHeight="1" s="8">
      <c r="A1497" s="6" t="inlineStr">
        <is>
          <t>Trích trước thuế nhà thầu</t>
        </is>
      </c>
      <c r="B1497" s="6" t="inlineStr">
        <is>
          <t>Accrual for foreign contractor tax</t>
        </is>
      </c>
      <c r="C1497" s="6" t="inlineStr">
        <is>
          <t>预提承包商税</t>
        </is>
      </c>
      <c r="D1497" s="6" t="inlineStr">
        <is>
          <t>預提承包商稅</t>
        </is>
      </c>
    </row>
    <row r="1498" ht="27.6" customFormat="1" customHeight="1" s="8">
      <c r="A1498" s="6" t="inlineStr">
        <is>
          <t>Trích trước thuế nhà thầu phải nộp</t>
        </is>
      </c>
      <c r="B1498" s="6" t="inlineStr">
        <is>
          <t>Accrual for foreign contractor tax</t>
        </is>
      </c>
      <c r="C1498" s="6" t="inlineStr">
        <is>
          <t>预提承包商税应纳税额</t>
        </is>
      </c>
      <c r="D1498" s="6" t="inlineStr">
        <is>
          <t>預提承包商稅應納稅額</t>
        </is>
      </c>
    </row>
    <row r="1499" customFormat="1" s="8">
      <c r="A1499" s="6" t="inlineStr">
        <is>
          <t>Trích trước tiền thưởng Tết</t>
        </is>
      </c>
      <c r="B1499" s="6" t="inlineStr">
        <is>
          <t>Accrual for Tet bonus expenses</t>
        </is>
      </c>
      <c r="C1499" s="6" t="inlineStr">
        <is>
          <t>预提奖金</t>
        </is>
      </c>
      <c r="D1499" s="6" t="inlineStr">
        <is>
          <t>預提獎金</t>
        </is>
      </c>
    </row>
    <row r="1500" customFormat="1" s="8">
      <c r="A1500" s="6" t="inlineStr">
        <is>
          <t>trình bày lại</t>
        </is>
      </c>
      <c r="B1500" s="6" t="inlineStr">
        <is>
          <t>re-stated</t>
        </is>
      </c>
      <c r="C1500" s="6" t="inlineStr">
        <is>
          <t>重新陈述</t>
        </is>
      </c>
      <c r="D1500" s="6" t="inlineStr">
        <is>
          <t>重新陳述</t>
        </is>
      </c>
    </row>
    <row r="1501" customFormat="1" s="8">
      <c r="A1501" s="6" t="inlineStr">
        <is>
          <t>Trình bày lại</t>
        </is>
      </c>
      <c r="B1501" s="6" t="inlineStr">
        <is>
          <t>Re-stated</t>
        </is>
      </c>
      <c r="C1501" s="6" t="inlineStr">
        <is>
          <t>重新陈述</t>
        </is>
      </c>
      <c r="D1501" s="6" t="inlineStr">
        <is>
          <t>重新陳述</t>
        </is>
      </c>
    </row>
    <row r="1502" ht="27.6" customFormat="1" customHeight="1" s="8">
      <c r="A1502" s="6" t="inlineStr">
        <is>
          <t>Trình bày lại trong báo cáo năm nay</t>
        </is>
      </c>
      <c r="B1502" s="6" t="inlineStr">
        <is>
          <t>Restated in current year’s statements</t>
        </is>
      </c>
      <c r="C1502" s="6" t="inlineStr">
        <is>
          <t>本年重新陈述</t>
        </is>
      </c>
      <c r="D1502" s="6" t="inlineStr">
        <is>
          <t>本年重新陳述</t>
        </is>
      </c>
    </row>
    <row r="1503" customFormat="1" s="8">
      <c r="A1503" s="6" t="inlineStr">
        <is>
          <t>Trợ cấp thôi việc</t>
        </is>
      </c>
      <c r="B1503" s="6" t="inlineStr">
        <is>
          <t>Severance allowance</t>
        </is>
      </c>
      <c r="C1503" s="6" t="inlineStr">
        <is>
          <t>离职准备金</t>
        </is>
      </c>
      <c r="D1503" s="6" t="inlineStr">
        <is>
          <t>離職準備金</t>
        </is>
      </c>
    </row>
    <row r="1504" customFormat="1" s="8">
      <c r="A1504" s="6" t="inlineStr">
        <is>
          <t>Trợ cấp thôi việc phải trả</t>
        </is>
      </c>
      <c r="B1504" s="6" t="inlineStr">
        <is>
          <t>Severance allowances payable</t>
        </is>
      </c>
      <c r="C1504" s="6" t="inlineStr">
        <is>
          <t>应付资遣费</t>
        </is>
      </c>
      <c r="D1504" s="6" t="inlineStr">
        <is>
          <t>應付資遣費</t>
        </is>
      </c>
    </row>
    <row r="1505" customFormat="1" s="8">
      <c r="A1505" s="6" t="inlineStr">
        <is>
          <t>Trong 1 năm</t>
        </is>
      </c>
      <c r="B1505" s="6" t="inlineStr">
        <is>
          <t>Within one year</t>
        </is>
      </c>
      <c r="C1505" s="6" t="inlineStr">
        <is>
          <t>一年以內</t>
        </is>
      </c>
      <c r="D1505" s="6" t="inlineStr">
        <is>
          <t>一年以內</t>
        </is>
      </c>
    </row>
    <row r="1506" customFormat="1" s="8">
      <c r="A1506" s="6" t="inlineStr">
        <is>
          <t>Trong đó, lập dự phòng</t>
        </is>
      </c>
      <c r="B1506" s="6" t="inlineStr">
        <is>
          <t>In which,provision</t>
        </is>
      </c>
      <c r="C1506" s="6" t="inlineStr">
        <is>
          <t>其中，坏帐准备</t>
        </is>
      </c>
      <c r="D1506" s="6" t="inlineStr">
        <is>
          <t>其中，壞帳準備</t>
        </is>
      </c>
    </row>
    <row r="1507" customFormat="1" s="8">
      <c r="A1507" s="6" t="inlineStr">
        <is>
          <t>Trong đó:</t>
        </is>
      </c>
      <c r="B1507" s="6" t="inlineStr">
        <is>
          <t>Including:</t>
        </is>
      </c>
      <c r="C1507" s="6" t="inlineStr">
        <is>
          <t>其中：</t>
        </is>
      </c>
      <c r="D1507" s="6" t="inlineStr">
        <is>
          <t>其中：</t>
        </is>
      </c>
    </row>
    <row r="1508" customFormat="1" s="8">
      <c r="A1508" s="6" t="inlineStr">
        <is>
          <t>Trong đó: Chi phí lãi vay</t>
        </is>
      </c>
      <c r="B1508" s="6" t="inlineStr">
        <is>
          <t>In which: Interest expenses</t>
        </is>
      </c>
      <c r="C1508" s="6" t="inlineStr">
        <is>
          <t>其中：借款利息</t>
        </is>
      </c>
      <c r="D1508" s="6" t="inlineStr">
        <is>
          <t>其中：借款利息</t>
        </is>
      </c>
    </row>
    <row r="1509" customFormat="1" s="8">
      <c r="A1509" s="6" t="inlineStr">
        <is>
          <t>Trong một năm</t>
        </is>
      </c>
      <c r="B1509" s="6" t="inlineStr">
        <is>
          <t>Within one year</t>
        </is>
      </c>
      <c r="C1509" s="6" t="inlineStr">
        <is>
          <t>一年以內</t>
        </is>
      </c>
      <c r="D1509" s="6" t="inlineStr">
        <is>
          <t>一年以內</t>
        </is>
      </c>
    </row>
    <row r="1510" ht="82.8" customFormat="1" customHeight="1" s="8">
      <c r="A1510" s="6" t="inlineStr">
        <is>
          <t>Trong quá trình hoạt động, Công ty phải gánh chịu các rủi ro do sử dụng công cụ tài chính, bao gồm rủi ro thị trường, rủi ro tín dụng và rủi ro thanh khoản.</t>
        </is>
      </c>
      <c r="B1510" s="6" t="inlineStr">
        <is>
          <t>During its operation, the Company incurs risks of using financial instruments including market risks, credit risks and liquidity risks.</t>
        </is>
      </c>
      <c r="C1510" s="6" t="inlineStr">
        <is>
          <t>在营运过程中，公司因使用金融工具而承担的相关风险，包括市场风险、信用风险以及流动性风险。</t>
        </is>
      </c>
      <c r="D1510" s="6" t="inlineStr">
        <is>
          <t>在營運過程中，公司因使用金融工具而承擔之相關風險，包括市場風險、信用風險以及流動性風險。</t>
        </is>
      </c>
    </row>
    <row r="1511" ht="69" customFormat="1" customHeight="1" s="8">
      <c r="A1511" s="6" t="inlineStr">
        <is>
          <t>Trong việc xem xét mối quan hệ của các bên liên quan, bản chất của mối quan hệ được chú trọng nhiều hơn hình thức pháp lý.</t>
        </is>
      </c>
      <c r="B1511" s="6" t="inlineStr">
        <is>
          <t>In considering the relationship of the parties involved, it is focused on the nature of the relationship other than the legal form.</t>
        </is>
      </c>
      <c r="C1511" s="6" t="inlineStr">
        <is>
          <t>在考虑关联方之间的相互关系时，应以实质重于形式原则为准。</t>
        </is>
      </c>
      <c r="D1511" s="6" t="inlineStr">
        <is>
          <t>在考量關聯方之間的相互關係時，應以實質重於形式原則為準。</t>
        </is>
      </c>
    </row>
    <row r="1512" customFormat="1" s="8">
      <c r="A1512" s="6" t="inlineStr">
        <is>
          <t>Trừ:</t>
        </is>
      </c>
      <c r="B1512" s="6" t="inlineStr">
        <is>
          <t>Less:</t>
        </is>
      </c>
      <c r="C1512" s="6" t="inlineStr">
        <is>
          <t>減去：</t>
        </is>
      </c>
      <c r="D1512" s="6" t="inlineStr">
        <is>
          <t>減去：</t>
        </is>
      </c>
    </row>
    <row r="1513" ht="27.6" customFormat="1" customHeight="1" s="8">
      <c r="A1513" s="6" t="inlineStr">
        <is>
          <t>Trừ: Khoản nợ được trả trong vòng 12 tháng</t>
        </is>
      </c>
      <c r="B1513" s="6" t="inlineStr">
        <is>
          <t>Less: Amount due for settlement within 12 months</t>
        </is>
      </c>
      <c r="C1513" s="6" t="inlineStr">
        <is>
          <t>减去：十二个月內到期的长期负债：</t>
        </is>
      </c>
      <c r="D1513" s="6" t="inlineStr">
        <is>
          <t>減去：十二個月內到期之長期負債：</t>
        </is>
      </c>
    </row>
    <row r="1514" ht="27.6" customFormat="1" customHeight="1" s="8">
      <c r="A1514" s="6" t="inlineStr">
        <is>
          <t>Trừ: Nợ phải trả trong vòng 12 tháng</t>
        </is>
      </c>
      <c r="B1514" s="6" t="inlineStr">
        <is>
          <t>Less: Amount due for settlement within 12 months</t>
        </is>
      </c>
      <c r="C1514" s="6" t="inlineStr">
        <is>
          <t>减去：十二个月內到期的长期负债：</t>
        </is>
      </c>
      <c r="D1514" s="6" t="inlineStr">
        <is>
          <t>減去：十二個月內到期之長期負債：</t>
        </is>
      </c>
    </row>
    <row r="1515" customFormat="1" s="8">
      <c r="A1515" s="6" t="inlineStr">
        <is>
          <t>Truy thu thuế</t>
        </is>
      </c>
      <c r="B1515" s="6" t="inlineStr">
        <is>
          <t>Tax arrears</t>
        </is>
      </c>
      <c r="C1515" s="6" t="inlineStr">
        <is>
          <t>追征税款</t>
        </is>
      </c>
      <c r="D1515" s="6" t="inlineStr">
        <is>
          <t>追徵稅款</t>
        </is>
      </c>
    </row>
    <row r="1516" customFormat="1" s="8">
      <c r="A1516" s="6" t="inlineStr">
        <is>
          <t>Truy thu, phạt thuế</t>
        </is>
      </c>
      <c r="B1516" s="6" t="inlineStr">
        <is>
          <t>Tax penalties and arrears</t>
        </is>
      </c>
      <c r="C1516" s="6" t="inlineStr">
        <is>
          <t>追征税款、罚款</t>
        </is>
      </c>
      <c r="D1516" s="6" t="inlineStr">
        <is>
          <t>追徵稅款、罰款</t>
        </is>
      </c>
    </row>
    <row r="1517" customFormat="1" s="8">
      <c r="A1517" s="6" t="inlineStr">
        <is>
          <t>Từ 1 đến 5 năm</t>
        </is>
      </c>
      <c r="B1517" s="6" t="inlineStr">
        <is>
          <t>From 01 to 05 years</t>
        </is>
      </c>
      <c r="C1517" s="6" t="inlineStr">
        <is>
          <t>一至五年</t>
        </is>
      </c>
      <c r="D1517" s="6" t="inlineStr">
        <is>
          <t>一至五年</t>
        </is>
      </c>
    </row>
    <row r="1518" ht="27.6" customFormat="1" customHeight="1" s="8">
      <c r="A1518" s="6" t="inlineStr">
        <is>
          <t>Từ năm thứ 2 đến năm thứ 5</t>
        </is>
      </c>
      <c r="B1518" s="6" t="inlineStr">
        <is>
          <t>In the second year to the fifth year</t>
        </is>
      </c>
      <c r="C1518" s="6" t="inlineStr">
        <is>
          <t>自第二年至第五年期间</t>
        </is>
      </c>
      <c r="D1518" s="6" t="inlineStr">
        <is>
          <t>自第二年至第五年期間</t>
        </is>
      </c>
    </row>
    <row r="1519" ht="27.6" customFormat="1" customHeight="1" s="8">
      <c r="A1519" s="6" t="inlineStr">
        <is>
          <t>Từ năm thứ hai đến năm thứ năm</t>
        </is>
      </c>
      <c r="B1519" s="6" t="inlineStr">
        <is>
          <t>In the second year to the fifth year inclusive</t>
        </is>
      </c>
      <c r="C1519" s="6" t="inlineStr">
        <is>
          <t>自第二年至第五年期间偿还</t>
        </is>
      </c>
      <c r="D1519" s="6" t="inlineStr">
        <is>
          <t>自第二年至第五年期間償還</t>
        </is>
      </c>
    </row>
    <row r="1520" customFormat="1" s="8">
      <c r="A1520" s="6" t="inlineStr">
        <is>
          <t>Từ ngày</t>
        </is>
      </c>
      <c r="B1520" s="6" t="inlineStr">
        <is>
          <t>From</t>
        </is>
      </c>
      <c r="C1520" s="6" t="inlineStr">
        <is>
          <t>自(日）</t>
        </is>
      </c>
      <c r="D1520" s="6" t="inlineStr">
        <is>
          <t>自(日）</t>
        </is>
      </c>
    </row>
    <row r="1521" customFormat="1" s="8">
      <c r="A1521" s="6" t="inlineStr">
        <is>
          <t>từ nhiệm</t>
        </is>
      </c>
      <c r="B1521" s="6" t="inlineStr">
        <is>
          <t xml:space="preserve">resigned on </t>
        </is>
      </c>
      <c r="C1521" s="6" t="inlineStr">
        <is>
          <t>离任</t>
        </is>
      </c>
      <c r="D1521" s="6" t="inlineStr">
        <is>
          <t>離任</t>
        </is>
      </c>
    </row>
    <row r="1522" customFormat="1" s="8">
      <c r="A1522" s="6" t="inlineStr">
        <is>
          <t>Từ nhiệm</t>
        </is>
      </c>
      <c r="B1522" s="6" t="inlineStr">
        <is>
          <t xml:space="preserve">Resigned on </t>
        </is>
      </c>
      <c r="C1522" s="6" t="inlineStr">
        <is>
          <t>离任</t>
        </is>
      </c>
      <c r="D1522" s="6" t="inlineStr">
        <is>
          <t>離任</t>
        </is>
      </c>
    </row>
    <row r="1523" customFormat="1" s="8">
      <c r="A1523" s="6" t="inlineStr">
        <is>
          <t>Tương đương</t>
        </is>
      </c>
      <c r="B1523" s="6" t="inlineStr">
        <is>
          <t>Equivalent to</t>
        </is>
      </c>
      <c r="C1523" s="6" t="inlineStr">
        <is>
          <t>相当于</t>
        </is>
      </c>
      <c r="D1523" s="6" t="inlineStr">
        <is>
          <t>相當於</t>
        </is>
      </c>
    </row>
    <row r="1524" customFormat="1" s="8">
      <c r="A1524" s="6" t="inlineStr">
        <is>
          <t>tương đương</t>
        </is>
      </c>
      <c r="B1524" s="6" t="inlineStr">
        <is>
          <t>equivalent to</t>
        </is>
      </c>
      <c r="C1524" s="6" t="inlineStr">
        <is>
          <t>相当于</t>
        </is>
      </c>
      <c r="D1524" s="6" t="inlineStr">
        <is>
          <t>相當於</t>
        </is>
      </c>
    </row>
    <row r="1525" customFormat="1" s="8">
      <c r="A1525" s="6" t="inlineStr">
        <is>
          <t>Tương đương VND</t>
        </is>
      </c>
      <c r="B1525" s="6" t="inlineStr">
        <is>
          <t>Equivalent in VND</t>
        </is>
      </c>
      <c r="C1525" s="6" t="inlineStr">
        <is>
          <t>折成越南盾</t>
        </is>
      </c>
      <c r="D1525" s="6" t="inlineStr">
        <is>
          <t>折成越南盾</t>
        </is>
      </c>
    </row>
    <row r="1526" customFormat="1" s="8">
      <c r="A1526" s="6" t="inlineStr">
        <is>
          <t>TUQ. Chủ tịch Công ty</t>
        </is>
      </c>
      <c r="B1526" s="12" t="inlineStr">
        <is>
          <t>For and on behalf of Chairman</t>
        </is>
      </c>
      <c r="C1526" s="12" t="inlineStr">
        <is>
          <t>董事长授权人</t>
        </is>
      </c>
      <c r="D1526" s="12" t="inlineStr">
        <is>
          <t>董事長授權人</t>
        </is>
      </c>
    </row>
    <row r="1527" customFormat="1" s="8">
      <c r="A1527" s="6" t="inlineStr">
        <is>
          <t>TUQ. Giám đốc</t>
        </is>
      </c>
      <c r="B1527" s="12" t="inlineStr">
        <is>
          <t>For and on behalf of Director</t>
        </is>
      </c>
      <c r="C1527" s="12" t="inlineStr">
        <is>
          <t>经理授权人</t>
        </is>
      </c>
      <c r="D1527" s="12" t="inlineStr">
        <is>
          <t>經理授權人</t>
        </is>
      </c>
    </row>
    <row r="1528" ht="27.6" customFormat="1" customHeight="1" s="8">
      <c r="A1528" s="6" t="inlineStr">
        <is>
          <t>TUQ. Giám đốc điều hành</t>
        </is>
      </c>
      <c r="B1528" s="6" t="inlineStr">
        <is>
          <t>For and on behalf of  Managing Director</t>
        </is>
      </c>
      <c r="C1528" s="6" t="inlineStr">
        <is>
          <t>执行总监授权人</t>
        </is>
      </c>
      <c r="D1528" s="6" t="inlineStr">
        <is>
          <t>執行總監授權人</t>
        </is>
      </c>
    </row>
    <row r="1529" ht="27.6" customFormat="1" customHeight="1" s="8">
      <c r="A1529" s="6" t="inlineStr">
        <is>
          <t>TUQ. Tổng Giám đốc</t>
        </is>
      </c>
      <c r="B1529" s="6" t="inlineStr">
        <is>
          <t>For and on behalf of General Director</t>
        </is>
      </c>
      <c r="C1529" s="6" t="inlineStr">
        <is>
          <t>总经理授权人</t>
        </is>
      </c>
      <c r="D1529" s="6" t="inlineStr">
        <is>
          <t>總經理授權人</t>
        </is>
      </c>
    </row>
    <row r="1530" ht="41.4" customFormat="1" customHeight="1" s="8">
      <c r="A1530" s="6" t="inlineStr">
        <is>
          <t>Tuyên bố về việc tuân thủ Chuẩn mực kế toán và Chế độ kế toán</t>
        </is>
      </c>
      <c r="B1530" s="6" t="inlineStr">
        <is>
          <t>Declaration of adopting Accounting Standards and Accounting System</t>
        </is>
      </c>
      <c r="C1530" s="6" t="inlineStr">
        <is>
          <t>遵循会计准则及会计制度的声明</t>
        </is>
      </c>
      <c r="D1530" s="6" t="inlineStr">
        <is>
          <t>遵循會計準則及會計制度之聲明</t>
        </is>
      </c>
    </row>
    <row r="1531" ht="69" customFormat="1" customHeight="1" s="8">
      <c r="A1531" s="6" t="inlineStr">
        <is>
          <t>Tỷ giá chuyển khoản này là tỷ giá bán của ngân hàng thương mại nơi Công ty thường xuyên có giao dịch.</t>
        </is>
      </c>
      <c r="B1531" s="6" t="inlineStr">
        <is>
          <t>This transfer exchange rate may be the selling exchange rate of the commercial bank where the Company has regular transactions.</t>
        </is>
      </c>
      <c r="C1531" s="6" t="inlineStr">
        <is>
          <t>该汇率系指公司经常交易往来的商业银行公布的电汇卖出价（汇率）。</t>
        </is>
      </c>
      <c r="D1531" s="6" t="inlineStr">
        <is>
          <t>該匯率係指公司經常交易往來的商業銀行公佈的電匯賣出價（匯率）。</t>
        </is>
      </c>
    </row>
    <row r="1532" ht="82.8" customFormat="1" customHeight="1" s="8">
      <c r="A1532" s="6" t="inlineStr">
        <is>
          <t>Tỷ giá chuyển khoản này là tỷ giá mua bán chuyển khoản trung bình của ngân hàng thương mại nơi Công ty thường xuyên có giao dịch.</t>
        </is>
      </c>
      <c r="B1532" s="6" t="inlineStr">
        <is>
          <t>This transfer exchange rate may be the average transfer selling and buying rate of the commercial bank where the Company has regular transactions.</t>
        </is>
      </c>
      <c r="C1532" s="6" t="inlineStr">
        <is>
          <t>该汇率系指公司经常交易往来的商业银行公布的电汇买卖平均价（汇率）。</t>
        </is>
      </c>
      <c r="D1532" s="6" t="inlineStr">
        <is>
          <t>該匯率係指公司經常交易往來的商業銀行公佈的電匯買賣平均價（匯率）。</t>
        </is>
      </c>
    </row>
    <row r="1533" ht="69" customFormat="1" customHeight="1" s="8">
      <c r="A1533" s="6" t="inlineStr">
        <is>
          <t>Tỷ giá chuyển khoản này là tỷ giá mua của ngân hàng thương mại nơi Công ty thường xuyên có giao dịch.</t>
        </is>
      </c>
      <c r="B1533" s="6" t="inlineStr">
        <is>
          <t>This transfer exchange rate may be the buying exchange rate of the commercial bank where the Company has regular transactions.</t>
        </is>
      </c>
      <c r="C1533" s="6" t="inlineStr">
        <is>
          <t>该汇率系指公司经常交易往来的商业银行公布的电汇买入价（汇率）。</t>
        </is>
      </c>
      <c r="D1533" s="6" t="inlineStr">
        <is>
          <t>該匯率係指公司經常交易往來的商業銀行公佈的電匯買入價（匯率）。</t>
        </is>
      </c>
    </row>
    <row r="1534" ht="82.8" customFormat="1" customHeight="1" s="8">
      <c r="A1534" s="6" t="inlineStr">
        <is>
          <t>Tỷ giá giao dịch thực tế khi ghi nhận nợ phải thu là tỷ giá mua của ngân hàng thương mại nơi Công ty chỉ định khách hàng thanh toán;</t>
        </is>
      </c>
      <c r="B1534" s="6" t="inlineStr">
        <is>
          <t>Real exchange rates when recording receivables are buying exchange rates of commercial banks where the Company assigned customers to make payment;</t>
        </is>
      </c>
      <c r="C1534" s="6" t="inlineStr">
        <is>
          <t>认列应收帐款的实时汇率系指公司向客户指定的商业银行在交易时公布的买入汇率；</t>
        </is>
      </c>
      <c r="D1534" s="6" t="inlineStr">
        <is>
          <t>認列應收帳款的實時匯率係指公司向客戶指定的商業銀行於交易時公佈的買入匯率；</t>
        </is>
      </c>
    </row>
    <row r="1535" ht="69" customFormat="1" customHeight="1" s="8">
      <c r="A1535" s="6" t="inlineStr">
        <is>
          <t>Tỷ giá giao dịch thực tế khi ghi nhận nợ phải trả là tỷ giá bán của ngân hàng thương mại nơi Công ty dự kiến giao dịch;</t>
        </is>
      </c>
      <c r="B1535" s="6" t="inlineStr">
        <is>
          <t>Real exchange rates when recording liabilities are selling exchange rates of commercial banks where the Company expects to conduct transactions;</t>
        </is>
      </c>
      <c r="C1535" s="6" t="inlineStr">
        <is>
          <t>认列应付帐款的实时汇率系指公司计划进行交易的商业银行在交易时公布的卖出汇率；</t>
        </is>
      </c>
      <c r="D1535" s="6" t="inlineStr">
        <is>
          <t>認列應付帳款的實時匯率係指公司計劃進行交易的商業銀行於交易時公佈的賣出匯率；</t>
        </is>
      </c>
    </row>
    <row r="1536" ht="110.4" customFormat="1" customHeight="1" s="8">
      <c r="A1536" s="6" t="inlineStr">
        <is>
          <t>Tỷ giá giao dịch thực tế khi giao dịch mua sắm tài sản hoặc các khoản chi phí được thanh toán ngay bằng ngoại tệ (không qua các tài khoản phải trả): tỷ giá mua của ngân hàng thương mại nơi Công ty thực hiện thanh toán.</t>
        </is>
      </c>
      <c r="B1536" s="6" t="inlineStr">
        <is>
          <t>Real exchange rates for purchases of assets or expenses paid immediately in foreign currency (not through the accounts payable) are buying exchange rates of commercial banks where the Company makes payments.</t>
        </is>
      </c>
      <c r="C1536" s="6" t="inlineStr">
        <is>
          <t>以外币计价的购置资产交易或其他即付费用（非经应付类科目）的实时汇率系指公司进行付款的商业银行在交易时公布的买入汇率。</t>
        </is>
      </c>
      <c r="D1536" s="6" t="inlineStr">
        <is>
          <t>以外幣計價的購置資產交易或其他即付費用（非經應付類科目）的實時匯率係指公司進行付款的商業銀行於交易時公佈的買入匯率。</t>
        </is>
      </c>
    </row>
    <row r="1537" ht="124.2" customFormat="1" customHeight="1" s="8">
      <c r="A1537" s="6" t="inlineStr">
        <is>
          <t>Tỷ giá giao dịch thực tế khi góp vốn hoặc nhận vốn góp là tỷ giá mua ngoại tệ của ngân hàng thương mại nơi Công ty mở tài khoản để nhận vốn của nhà đầu tư tại ngày góp vốn;</t>
        </is>
      </c>
      <c r="B1537" s="6" t="inlineStr">
        <is>
          <t>Real exchange rates when recording capital contribution transactions are buying exchange rates of the commercial banks where the Company opens the account to receive capital from investors at the date of the contribution of capital;</t>
        </is>
      </c>
      <c r="C1537" s="6" t="inlineStr">
        <is>
          <t>出资入股或接收出资的实时汇率系指公司开立资本账户以接收投资的商业银行在出资日公布的买入汇率；</t>
        </is>
      </c>
      <c r="D1537" s="6" t="inlineStr">
        <is>
          <t>出資入股或接收出資之實時匯率係指公司開立資本帳戶以接收投資的商業銀行於出資日公佈的買入匯率；</t>
        </is>
      </c>
    </row>
    <row r="1538" ht="96.59999999999999" customFormat="1" customHeight="1" s="8">
      <c r="A1538" s="6" t="inlineStr">
        <is>
          <t>Tỷ giá giao dịch thực tế khi mua bán ngoại tệ là tỷ giá ký kết trong hợp đồng mua, bán ngoại tệ giữa Công ty và ngân hàng thương mại;</t>
        </is>
      </c>
      <c r="B1538" s="6" t="inlineStr">
        <is>
          <t>Real exchange rates when buying or selling foreign currency are exchange rates concluded in contracts of foreign exchange between the Company and commercial banks;</t>
        </is>
      </c>
      <c r="C1538" s="6" t="inlineStr">
        <is>
          <t>外汇买卖的实时汇率系指公司与商业银行签订的外汇买卖合同中规定的交易汇率；</t>
        </is>
      </c>
      <c r="D1538" s="6" t="inlineStr">
        <is>
          <t>外匯買賣之實時匯率係指公司與商業銀行簽訂的外匯買賣合約中規定的交易匯率；</t>
        </is>
      </c>
    </row>
    <row r="1539" ht="124.2" customFormat="1" customHeight="1" s="8">
      <c r="A1539" s="6" t="inlineStr">
        <is>
          <t>Tỷ giá mua bán chuyển khoản trung bình được xác định hàng ngày (hoặc hàng tuần hoặc hàng tháng) trên cơ sở trung bình cộng giữa tỷ giá mua và tỷ giá bán chuyển khoản hàng ngày của ngân hàng thương mại nơi Công ty thường xuyên có giao dịch.</t>
        </is>
      </c>
      <c r="B1539" s="6" t="inlineStr">
        <is>
          <t>The average transfer selling and buying rate is determined daily (or weekly or monthly) on the basis of arithmetic average between the daily transfer buying rate and selling rate of the commercial bank where the Company has regular transactions.</t>
        </is>
      </c>
      <c r="C1539" s="6" t="inlineStr">
        <is>
          <t>电汇买卖平均价（汇率）按日（或按周或按月）确定且等于公司经常交易往来的商业银行公布的每日电汇买入价与电汇卖出价的平均值。</t>
        </is>
      </c>
      <c r="D1539" s="6" t="inlineStr">
        <is>
          <t>電匯買賣平均價（匯率）按日（或按周或按月）確定且等於公司經常交易往來的商業銀行公佈的每日電匯買入價與電匯賣出價的平均值。</t>
        </is>
      </c>
    </row>
    <row r="1540" ht="110.4" customFormat="1" customHeight="1" s="8">
      <c r="A1540" s="6" t="inlineStr">
        <is>
          <t>Tỷ giá mua bán chuyển khoản trung bình được xác định hàng ngày trên cơ sở trung bình cộng giữa tỷ giá mua và tỷ giá bán chuyển khoản hàng ngày của ngân hàng thương mại nơi Công ty thường xuyên có giao dịch.</t>
        </is>
      </c>
      <c r="B1540" s="6" t="inlineStr">
        <is>
          <t>The average transfer selling and buying rate is determined daily on the basis of arithmetic average between the daily transfer buying rate and selling rate of the commercial bank where the Company has regular transactions.</t>
        </is>
      </c>
      <c r="C1540" s="6" t="inlineStr">
        <is>
          <t>电汇买卖平均价（汇率）系指公司经常交易往来的商业银行公布的每日电汇买入价与电汇卖出价的平均值。</t>
        </is>
      </c>
      <c r="D1540" s="6" t="inlineStr">
        <is>
          <t>電匯買賣平均價（匯率）係指公司經常交易往來的商業銀行公佈的每日電匯買入價與電匯賣出價的平均值。</t>
        </is>
      </c>
    </row>
    <row r="1541" ht="110.4" customFormat="1" customHeight="1" s="8">
      <c r="A1541" s="6" t="inlineStr">
        <is>
          <t>Tỷ giá mua bán chuyển khoản trung bình được xác định hàng tháng trên cơ sở trung bình cộng giữa tỷ giá mua và tỷ giá bán chuyển khoản hàng ngày của ngân hàng thương mại nơi Công ty thường xuyên có giao dịch.</t>
        </is>
      </c>
      <c r="B1541" s="6" t="inlineStr">
        <is>
          <t>The average transfer selling and buying rate is determined monthly on the basis of arithmetic average between the daily transfer buying rate and selling rate of the commercial bank where the Company has regular transactions.</t>
        </is>
      </c>
      <c r="C1541" s="6" t="inlineStr">
        <is>
          <t>电汇买卖平均价（汇率）系指公司经常交易往来的商业银行公布的每月电汇买入价与电汇卖出价的平均值。</t>
        </is>
      </c>
      <c r="D1541" s="6" t="inlineStr">
        <is>
          <t>電匯買賣平均價（匯率）係指公司經常交易往來的商業銀行公佈的每月電匯買入價與電匯賣出價的平均值。</t>
        </is>
      </c>
    </row>
    <row r="1542" ht="110.4" customFormat="1" customHeight="1" s="8">
      <c r="A1542" s="6" t="inlineStr">
        <is>
          <t>Tỷ giá mua bán chuyển khoản trung bình được xác định hàng tuần trên cơ sở trung bình cộng giữa tỷ giá mua và tỷ giá bán chuyển khoản hàng ngày của ngân hàng thương mại nơi Công ty thường xuyên có giao dịch.</t>
        </is>
      </c>
      <c r="B1542" s="6" t="inlineStr">
        <is>
          <t>The average transfer selling and buying rate is determined weekly on the basis of arithmetic average between the daily transfer buying rate and selling rate of the commercial bank where the Company has regular transactions.</t>
        </is>
      </c>
      <c r="C1542" s="6" t="inlineStr">
        <is>
          <t>电汇买卖平均价（汇率）系指公司经常交易往来的商业银行公布的每周电汇买入价与电汇卖出价的平均值。</t>
        </is>
      </c>
      <c r="D1542" s="6" t="inlineStr">
        <is>
          <t>電匯買賣平均價（匯率）係指公司經常交易往來的商業銀行公佈的每週電匯買入價與電匯賣出價的平均值。</t>
        </is>
      </c>
    </row>
    <row r="1543" ht="110.4" customFormat="1" customHeight="1" s="8">
      <c r="A1543" s="6" t="inlineStr">
        <is>
          <t>Tỷ giá mua bán chuyển khoản trung bình được xác định trên cơ sở trung bình cộng giữa tỷ giá mua và tỷ giá bán chuyển khoản hàng ngày của ngân hàng thương mại nơi Công ty thường xuyên có giao dịch.</t>
        </is>
      </c>
      <c r="B1543" s="6" t="inlineStr">
        <is>
          <t>The average transfer selling and buying rate is determined on the basis of arithmetic average between the daily transfer buying rate and selling rate of the commercial bank where the Company has regular transactions.</t>
        </is>
      </c>
      <c r="C1543" s="6" t="inlineStr">
        <is>
          <t>电汇买卖平均价（汇率）是指公司经常交易往来的商业银行每日公布的电汇买入价与电汇卖出价的平均值。</t>
        </is>
      </c>
      <c r="D1543" s="6" t="inlineStr">
        <is>
          <t>電匯買賣平均價（匯率）係指公司經常交易往來的商業銀行每日公佈的電匯買入價與電匯賣出價的平均值。</t>
        </is>
      </c>
    </row>
    <row r="1544" customFormat="1" s="8">
      <c r="A1544" s="6" t="inlineStr">
        <is>
          <t>Tỷ lệ</t>
        </is>
      </c>
      <c r="B1544" s="6" t="inlineStr">
        <is>
          <t>Percentage</t>
        </is>
      </c>
      <c r="C1544" s="6" t="inlineStr">
        <is>
          <t>百分比</t>
        </is>
      </c>
      <c r="D1544" s="6" t="inlineStr">
        <is>
          <t>百分比</t>
        </is>
      </c>
    </row>
    <row r="1545" ht="179.4" customFormat="1" customHeight="1" s="8">
      <c r="A1545" s="6" t="inlineStr">
        <is>
          <t>Tỷ lệ vốn hóa được tính theo tỷ lệ lãi suất bình quân gia quyền của các khoản vay chưa trả trong kỳ của Công ty, ngoại trừ các khoản vay riêng biệt phục vụ cho mục đích có một tài sản dở dang. Chi phí đi vay được vốn hóa trong kỳ không được vượt quá tổng số chi phí đi vay phát sinh trong kỳ đó.</t>
        </is>
      </c>
      <c r="B1545" s="6" t="inlineStr">
        <is>
          <t>The capitalization rate should be the weighted average of the borrowing costs applicable to the borrowings of the Company that are outstanding during the period, other than borrowings made specifically for the purpose of obtaining a qualifying asset. Borrowing costs which are capitalized in the period should not exceed the total amount of borrowing costs incurred in that period.</t>
        </is>
      </c>
      <c r="C1545" s="6" t="inlineStr">
        <is>
          <t>资本化率应以公司当期各项未付借款的加权平均利率确定，为得到某项在建资产而发生的特殊借款除外。当期应予资本化的借款费用，应以当期借款成本总额为限。</t>
        </is>
      </c>
      <c r="D1545" s="6" t="inlineStr">
        <is>
          <t>資本化率應以公司當期各項未付借款之加權平均利率確定，為得到某項在建資產而發生的特殊借款除外。當期應予資本化之借款費用，應以當期借款成本總額為限。</t>
        </is>
      </c>
    </row>
    <row r="1546" customFormat="1" s="8">
      <c r="A1546" s="6" t="inlineStr">
        <is>
          <t>Vấn đề cần nhấn mạnh</t>
        </is>
      </c>
      <c r="B1546" s="6" t="inlineStr">
        <is>
          <t>Emphasis of Matter</t>
        </is>
      </c>
      <c r="C1546" s="6" t="inlineStr">
        <is>
          <t>强调事项</t>
        </is>
      </c>
      <c r="D1546" s="6" t="inlineStr">
        <is>
          <t>強調事項</t>
        </is>
      </c>
    </row>
    <row r="1547" customFormat="1" s="8">
      <c r="A1547" s="6" t="inlineStr">
        <is>
          <t>Vấn đề khác</t>
        </is>
      </c>
      <c r="B1547" s="6" t="inlineStr">
        <is>
          <t>Other Matter</t>
        </is>
      </c>
      <c r="C1547" s="6" t="inlineStr">
        <is>
          <t>其他事项</t>
        </is>
      </c>
      <c r="D1547" s="6" t="inlineStr">
        <is>
          <t>其他事項</t>
        </is>
      </c>
    </row>
    <row r="1548" ht="27.6" customFormat="1" customHeight="1" s="8">
      <c r="A1548" s="6" t="inlineStr">
        <is>
          <t>Vật tư, hàng hóa nhận giữ hộ, nhận gia công</t>
        </is>
      </c>
      <c r="B1548" s="6" t="inlineStr">
        <is>
          <t>Materials, goods received on consignment or for processing</t>
        </is>
      </c>
      <c r="C1548" s="6" t="inlineStr">
        <is>
          <t>代管或委托加工的商品与物资</t>
        </is>
      </c>
      <c r="D1548" s="6" t="inlineStr">
        <is>
          <t>代管或委託加工之商品與物資</t>
        </is>
      </c>
    </row>
    <row r="1549" customFormat="1" s="8">
      <c r="A1549" s="6" t="inlineStr">
        <is>
          <t>Vay</t>
        </is>
      </c>
      <c r="B1549" s="6" t="inlineStr">
        <is>
          <t>Borrowings</t>
        </is>
      </c>
      <c r="C1549" s="6" t="inlineStr">
        <is>
          <t>借款</t>
        </is>
      </c>
      <c r="D1549" s="6" t="inlineStr">
        <is>
          <t>借款</t>
        </is>
      </c>
    </row>
    <row r="1550" customFormat="1" s="8">
      <c r="A1550" s="6" t="inlineStr">
        <is>
          <t>Vay dài hạn</t>
        </is>
      </c>
      <c r="B1550" s="6" t="inlineStr">
        <is>
          <t>Long-term borrowings</t>
        </is>
      </c>
      <c r="C1550" s="6" t="inlineStr">
        <is>
          <t>长期借款</t>
        </is>
      </c>
      <c r="D1550" s="6" t="inlineStr">
        <is>
          <t>長期借款</t>
        </is>
      </c>
    </row>
    <row r="1551" ht="27.6" customFormat="1" customHeight="1" s="8">
      <c r="A1551" s="6" t="inlineStr">
        <is>
          <t>Vay dài hạn bên liên quan</t>
        </is>
      </c>
      <c r="B1551" s="6" t="inlineStr">
        <is>
          <t>Long-term borrowings from related parties</t>
        </is>
      </c>
      <c r="C1551" s="6" t="inlineStr">
        <is>
          <t>关联方提供长期借款</t>
        </is>
      </c>
      <c r="D1551" s="6" t="inlineStr">
        <is>
          <t>關聯方提供長期借款</t>
        </is>
      </c>
    </row>
    <row r="1552" ht="27.6" customFormat="1" customHeight="1" s="8">
      <c r="A1552" s="6" t="inlineStr">
        <is>
          <t>Vay dài hạn bên thứ ba</t>
        </is>
      </c>
      <c r="B1552" s="6" t="inlineStr">
        <is>
          <t>Long-term borrowings from third parties</t>
        </is>
      </c>
      <c r="C1552" s="6" t="inlineStr">
        <is>
          <t>第三方提供长期借款</t>
        </is>
      </c>
      <c r="D1552" s="6" t="inlineStr">
        <is>
          <t>第三方提供長期借款</t>
        </is>
      </c>
    </row>
    <row r="1553" ht="27.6" customFormat="1" customHeight="1" s="8">
      <c r="A1553" s="6" t="inlineStr">
        <is>
          <t>Vay dài hạn dưới hình thức thuê tài chính</t>
        </is>
      </c>
      <c r="B1553" s="6" t="inlineStr">
        <is>
          <t>Long-term borrowings under finance lease</t>
        </is>
      </c>
      <c r="C1553" s="6" t="inlineStr">
        <is>
          <t>长期融资租赁负债</t>
        </is>
      </c>
      <c r="D1553" s="6" t="inlineStr">
        <is>
          <t>長期融資租賃負債</t>
        </is>
      </c>
    </row>
    <row r="1554" customFormat="1" s="8">
      <c r="A1554" s="6" t="inlineStr">
        <is>
          <t>Vay ngắn hạn</t>
        </is>
      </c>
      <c r="B1554" s="6" t="inlineStr">
        <is>
          <t>Short-term borrowings</t>
        </is>
      </c>
      <c r="C1554" s="6" t="inlineStr">
        <is>
          <t>短期借款</t>
        </is>
      </c>
      <c r="D1554" s="6" t="inlineStr">
        <is>
          <t>短期借款</t>
        </is>
      </c>
    </row>
    <row r="1555" ht="27.6" customFormat="1" customHeight="1" s="8">
      <c r="A1555" s="6" t="inlineStr">
        <is>
          <t>Vay ngắn hạn bên liên quan</t>
        </is>
      </c>
      <c r="B1555" s="6" t="inlineStr">
        <is>
          <t>Short-term borrowings from related parties</t>
        </is>
      </c>
      <c r="C1555" s="6" t="inlineStr">
        <is>
          <t>关联方提供短期借款</t>
        </is>
      </c>
      <c r="D1555" s="6" t="inlineStr">
        <is>
          <t>關聯方提供短期借款</t>
        </is>
      </c>
    </row>
    <row r="1556" ht="27.6" customFormat="1" customHeight="1" s="8">
      <c r="A1556" s="6" t="inlineStr">
        <is>
          <t>Vay ngắn hạn bên thứ ba</t>
        </is>
      </c>
      <c r="B1556" s="6" t="inlineStr">
        <is>
          <t>Short-term borrowings from third parties</t>
        </is>
      </c>
      <c r="C1556" s="6" t="inlineStr">
        <is>
          <t>第三方提供短期借款</t>
        </is>
      </c>
      <c r="D1556" s="6" t="inlineStr">
        <is>
          <t>第三方提供短期借款</t>
        </is>
      </c>
    </row>
    <row r="1557" ht="27.6" customFormat="1" customHeight="1" s="8">
      <c r="A1557" s="6" t="inlineStr">
        <is>
          <t>Vay ngắn hạn, dài hạn</t>
        </is>
      </c>
      <c r="B1557" s="6" t="inlineStr">
        <is>
          <t>Short-term and long-term borrowings</t>
        </is>
      </c>
      <c r="C1557" s="6" t="inlineStr">
        <is>
          <t>短期、长期借款</t>
        </is>
      </c>
      <c r="D1557" s="6" t="inlineStr">
        <is>
          <t>短期、長期借款</t>
        </is>
      </c>
    </row>
    <row r="1558" customFormat="1" s="8">
      <c r="A1558" s="6" t="inlineStr">
        <is>
          <t>Vay tiền</t>
        </is>
      </c>
      <c r="B1558" s="6" t="inlineStr">
        <is>
          <t>Borrowings</t>
        </is>
      </c>
      <c r="C1558" s="6" t="inlineStr">
        <is>
          <t>借款</t>
        </is>
      </c>
      <c r="D1558" s="6" t="inlineStr">
        <is>
          <t>借款</t>
        </is>
      </c>
    </row>
    <row r="1559" customFormat="1" s="8">
      <c r="A1559" s="6" t="inlineStr">
        <is>
          <t>Vay trong năm</t>
        </is>
      </c>
      <c r="B1559" s="6" t="inlineStr">
        <is>
          <t>Borrowed in current year</t>
        </is>
      </c>
      <c r="C1559" s="6" t="inlineStr">
        <is>
          <t>年度内借贷</t>
        </is>
      </c>
      <c r="D1559" s="6" t="inlineStr">
        <is>
          <t>年度內借貸</t>
        </is>
      </c>
    </row>
    <row r="1560" ht="27.6" customFormat="1" customHeight="1" s="8">
      <c r="A1560" s="6" t="inlineStr">
        <is>
          <t>Vay và nợ thuê tài chính</t>
        </is>
      </c>
      <c r="B1560" s="6" t="inlineStr">
        <is>
          <t>Borrowings and finance lease obligations</t>
        </is>
      </c>
      <c r="C1560" s="6" t="inlineStr">
        <is>
          <t>借款及融资租赁负债</t>
        </is>
      </c>
      <c r="D1560" s="6" t="inlineStr">
        <is>
          <t>借款及融資租賃負債</t>
        </is>
      </c>
    </row>
    <row r="1561" ht="27.6" customFormat="1" customHeight="1" s="8">
      <c r="A1561" s="6" t="inlineStr">
        <is>
          <t>Vay và nợ thuê tài chính dài hạn</t>
        </is>
      </c>
      <c r="B1561" s="6" t="inlineStr">
        <is>
          <t>Long-term borrowings and finance lease obligations</t>
        </is>
      </c>
      <c r="C1561" s="6" t="inlineStr">
        <is>
          <t>长期借款及融资租赁负债</t>
        </is>
      </c>
      <c r="D1561" s="6" t="inlineStr">
        <is>
          <t>長期借款及融資租賃負債</t>
        </is>
      </c>
    </row>
    <row r="1562" ht="27.6" customFormat="1" customHeight="1" s="8">
      <c r="A1562" s="6" t="inlineStr">
        <is>
          <t>Vay và nợ thuê tài chính ngắn hạn</t>
        </is>
      </c>
      <c r="B1562" s="6" t="inlineStr">
        <is>
          <t xml:space="preserve">Short-term borrowings and finance lease obligations </t>
        </is>
      </c>
      <c r="C1562" s="6" t="inlineStr">
        <is>
          <t>短期借款及融资租赁负债</t>
        </is>
      </c>
      <c r="D1562" s="6" t="inlineStr">
        <is>
          <t>短期借款及融資租賃負債</t>
        </is>
      </c>
    </row>
    <row r="1563" ht="27.6" customFormat="1" customHeight="1" s="8">
      <c r="A1563" s="6" t="inlineStr">
        <is>
          <t>Vay/(Trả) vay</t>
        </is>
      </c>
      <c r="B1563" s="6" t="inlineStr">
        <is>
          <t>Borrowings / (Repayment of borrowings)</t>
        </is>
      </c>
      <c r="C1563" s="6" t="inlineStr">
        <is>
          <t>借款/（偿还借款）</t>
        </is>
      </c>
      <c r="D1563" s="6" t="inlineStr">
        <is>
          <t>借款/（償還借款）</t>
        </is>
      </c>
    </row>
    <row r="1564" ht="345" customFormat="1" customHeight="1" s="8">
      <c r="A1564" s="6" t="inlineStr">
        <is>
          <t>Việc chuyển từ bất động sản chủ sở hữu sử dụng hoặc hàng tồn kho thành bất động sản đầu tư chỉ khi có sự thay đổi về mục đích sử dụng như trường hợp chủ sở hữu chấm dứt sử dụng tài sản đó và bắt đầu cho bên khác thuê hoạt động hoặc khi kết thúc giai đoạn xây dựng. Việc chuyển từ bất động sản đầu tư sang bất động sản chủ sở hữu sử dụng hay hàng tồn kho chỉ được thực hiện khi có sự thay đổi về mục đích sử dụng như các trường hợp chủ sở hữu bắt đầu sử dụng tài sản này hoặc bắt đầu triển khai cho mục đích bán. Việc chuyển từ bất động sản đầu tư sang bất động sản chủ sở hữu sử dụng hoặc hàng tồn kho không làm thay đổi nguyên giá hay giá trị còn lại của bất động sản tại ngày chuyển đổi.</t>
        </is>
      </c>
      <c r="B1564" s="6" t="inlineStr">
        <is>
          <t>Transfers from owner-occupied property or inventory to investment property are made  when, and only when, there is a change in use, evidenced by ending of owner-occupation, commencement of an operating lease to another party or ending of construction or development. Transfers from investment property to owner-occupied property or inventory are made when, and only when, there is change in use, evidenced by commencement of owner-occupation or commencement of development with a view to sale. The transfers from investment property to owner-occupied property or inventory does not change the cost or the carrying value of the property at the date of transfer.</t>
        </is>
      </c>
      <c r="C1564" s="6" t="inlineStr">
        <is>
          <t>所有者自用资产（不动产）或存货转换为投资性不动产，被视为资产用途转换，如同所有者停止使用并以营业租赁形式将该资产出租给他方，或者在资产基建完成并开始投入使用时。投资性不动产转换为所有者自用资产或存货，仅能在资产用途变更时进行，如同所有者开始使用或出售该资产。投资性不动产转换为所有者自用资产（不动产）或存货，并不改变其原始成本或剩余价值。</t>
        </is>
      </c>
      <c r="D1564" s="6" t="inlineStr">
        <is>
          <t>所有者自用資產（不動產）或存貨轉換為投資性不動產，被視為資產用途轉換，如同所有者停止使用並以營業租賃形式將該資產出租給他方，或者在資產基建完成並開始投入使用時。投資性不動產轉換為所有者自用資產或存貨，僅能在資產用途變更時進行，如同所有者開始使用或出售該資產。投資性不動產轉換為所有者自用資產（不動產）或存貨，並不改變其原始成本或剩餘價值。</t>
        </is>
      </c>
    </row>
    <row r="1565" customFormat="1" s="8">
      <c r="A1565" s="6" t="inlineStr">
        <is>
          <t>Vợ của Chủ đầu tư cũ</t>
        </is>
      </c>
      <c r="B1565" s="6" t="inlineStr">
        <is>
          <t>Former investor’s spouse</t>
        </is>
      </c>
      <c r="C1565" s="6" t="inlineStr">
        <is>
          <t>前任投资者配偶</t>
        </is>
      </c>
      <c r="D1565" s="6" t="inlineStr">
        <is>
          <t>前任投資者配偶</t>
        </is>
      </c>
    </row>
    <row r="1566" customFormat="1" s="8">
      <c r="A1566" s="6" t="inlineStr">
        <is>
          <t>Vốn chủ sở hữu</t>
        </is>
      </c>
      <c r="B1566" s="6" t="inlineStr">
        <is>
          <t>Owner’s capital</t>
        </is>
      </c>
      <c r="C1566" s="6" t="inlineStr">
        <is>
          <t>所有者（股东）权益</t>
        </is>
      </c>
      <c r="D1566" s="6" t="inlineStr">
        <is>
          <t>所有者（股東）權益</t>
        </is>
      </c>
    </row>
    <row r="1567" ht="96.59999999999999" customFormat="1" customHeight="1" s="8">
      <c r="A1567" s="6" t="inlineStr">
        <is>
          <t>Vốn chủ sở hữu (vốn góp của chủ sở hữu, thặng dư vốn cổ phần, vốn khác, quyền chọn chuyển đổi trái phiếu) được quy đổi ra VND theo tỷ giá giao dịch thực tế tại ngày góp vốn;</t>
        </is>
      </c>
      <c r="B1567" s="6" t="inlineStr">
        <is>
          <t>Owner’s equity (contributed capital of owners, share premium or other capital, conversion option of bonds) is converted into VND at the real exchange rate at the date of contribution of capital;</t>
        </is>
      </c>
      <c r="C1567" s="6" t="inlineStr">
        <is>
          <t>所有者或股东权益（所有者投资资金、资本（股本）溢价、其他资金、可转换债券）按照出资入股当日的实际交易汇率折算为越南盾；</t>
        </is>
      </c>
      <c r="D1567" s="6" t="inlineStr">
        <is>
          <t>所有者或股東權益（所有者投資資金、資本（股本）溢價、其他資金、可轉換債券）按照出資入股當日之實際交易匯率折算為越南盾；</t>
        </is>
      </c>
    </row>
    <row r="1568" customFormat="1" s="8">
      <c r="A1568" s="6" t="inlineStr">
        <is>
          <t>Vốn cổ phần</t>
        </is>
      </c>
      <c r="B1568" s="6" t="inlineStr">
        <is>
          <t>Share capital</t>
        </is>
      </c>
      <c r="C1568" s="6" t="inlineStr">
        <is>
          <t>股本</t>
        </is>
      </c>
      <c r="D1568" s="6" t="inlineStr">
        <is>
          <t>股本</t>
        </is>
      </c>
    </row>
    <row r="1569" customFormat="1" s="8">
      <c r="A1569" s="6" t="inlineStr">
        <is>
          <t>Vốn đã góp</t>
        </is>
      </c>
      <c r="B1569" s="6" t="inlineStr">
        <is>
          <t>Contributed capital</t>
        </is>
      </c>
      <c r="C1569" s="6" t="inlineStr">
        <is>
          <t>已投入</t>
        </is>
      </c>
      <c r="D1569" s="6" t="inlineStr">
        <is>
          <t>已投入</t>
        </is>
      </c>
    </row>
    <row r="1570" customFormat="1" s="8">
      <c r="A1570" s="6" t="inlineStr">
        <is>
          <t>Vốn góp của chủ sở hữu</t>
        </is>
      </c>
      <c r="B1570" s="6" t="inlineStr">
        <is>
          <t>Owner’s capital</t>
        </is>
      </c>
      <c r="C1570" s="6" t="inlineStr">
        <is>
          <t>所有者（股东）投资资金</t>
        </is>
      </c>
      <c r="D1570" s="6" t="inlineStr">
        <is>
          <t>所有者（股東）投資資金</t>
        </is>
      </c>
    </row>
    <row r="1571" customFormat="1" s="8">
      <c r="A1571" s="6" t="inlineStr">
        <is>
          <t>Vốn khác của chủ sở hữu</t>
        </is>
      </c>
      <c r="B1571" s="6" t="inlineStr">
        <is>
          <t>Owner’s other capital</t>
        </is>
      </c>
      <c r="C1571" s="6" t="inlineStr">
        <is>
          <t>所有者（股东）的其他资金</t>
        </is>
      </c>
      <c r="D1571" s="6" t="inlineStr">
        <is>
          <t>所有者（股東）之其他資金</t>
        </is>
      </c>
    </row>
    <row r="1572" ht="27.6" customFormat="1" customHeight="1" s="8">
      <c r="A1572" s="6" t="inlineStr">
        <is>
          <t>Vốn kinh doanh ở đơn vị trực thuộc</t>
        </is>
      </c>
      <c r="B1572" s="6" t="inlineStr">
        <is>
          <t>Working capital in subsidiaries</t>
        </is>
      </c>
      <c r="C1572" s="6" t="inlineStr">
        <is>
          <t>直属单位的营运资金</t>
        </is>
      </c>
      <c r="D1572" s="6" t="inlineStr">
        <is>
          <t>直屬單位之營運資金</t>
        </is>
      </c>
    </row>
    <row r="1573" ht="82.8" customFormat="1" customHeight="1" s="8">
      <c r="A1573" s="6" t="inlineStr">
        <is>
          <t>Xác định được chi phí phát sinh và chi phí để hoàn thành giao dịch cung cấp dịch vụ đó.</t>
        </is>
      </c>
      <c r="B1573" s="6" t="inlineStr">
        <is>
          <t>The costs incurred or to be incurred in respect of the transaction of which the services were completely provided can be measured reliably.</t>
        </is>
      </c>
      <c r="C1573" s="6" t="inlineStr">
        <is>
          <t>所产生成本以及完成提供劳务交易的相关成本能够计量。</t>
        </is>
      </c>
      <c r="D1573" s="6" t="inlineStr">
        <is>
          <t>所產生成本以及完成提供勞務交易之相關成本能夠計量。</t>
        </is>
      </c>
    </row>
    <row r="1574" ht="55.2" customFormat="1" customHeight="1" s="8">
      <c r="A1574" s="6" t="inlineStr">
        <is>
          <t>Xác định được phần công việc đã hoàn thành vào ngày lập Bảng cân đối kế toán; và</t>
        </is>
      </c>
      <c r="B1574" s="6" t="inlineStr">
        <is>
          <t>The volume of work completed on the balance sheet date can be measured reliably; and</t>
        </is>
      </c>
      <c r="C1574" s="6" t="inlineStr">
        <is>
          <t>交易在资产负债表日的完成程度能够计量；以及</t>
        </is>
      </c>
      <c r="D1574" s="6" t="inlineStr">
        <is>
          <t>交易於資產負債表日的完成程度能夠計量；以及</t>
        </is>
      </c>
    </row>
    <row r="1575" customFormat="1" s="8">
      <c r="A1575" s="6" t="inlineStr">
        <is>
          <t>Xem chi tiết ở thuyết minh mục</t>
        </is>
      </c>
      <c r="B1575" s="6" t="inlineStr">
        <is>
          <t>Details are at Note</t>
        </is>
      </c>
      <c r="C1575" s="6" t="inlineStr">
        <is>
          <t>详述于财务报表附注[số]项。</t>
        </is>
      </c>
      <c r="D1575" s="6" t="inlineStr">
        <is>
          <t>詳述於財務報表附註[số]項。</t>
        </is>
      </c>
    </row>
    <row r="1576" customFormat="1" s="8">
      <c r="A1576" s="6" t="inlineStr">
        <is>
          <t>Xem chi tiết tại mục</t>
        </is>
      </c>
      <c r="B1576" s="6" t="inlineStr">
        <is>
          <t>Details are at Note</t>
        </is>
      </c>
      <c r="C1576" s="6" t="inlineStr">
        <is>
          <t>详述于附注</t>
        </is>
      </c>
      <c r="D1576" s="6" t="inlineStr">
        <is>
          <t>詳述於附註</t>
        </is>
      </c>
    </row>
    <row r="1577" customFormat="1" s="8">
      <c r="A1577" s="6" t="inlineStr">
        <is>
          <t>Xem chi tiết tại thuyết minh</t>
        </is>
      </c>
      <c r="B1577" s="6" t="inlineStr">
        <is>
          <t>Details are at Note</t>
        </is>
      </c>
      <c r="C1577" s="6" t="inlineStr">
        <is>
          <t>详述在财务报表附注</t>
        </is>
      </c>
      <c r="D1577" s="6" t="inlineStr">
        <is>
          <t>詳述於財務報表附註</t>
        </is>
      </c>
    </row>
    <row r="1578" ht="27.6" customFormat="1" customHeight="1" s="8">
      <c r="A1578" s="6" t="inlineStr">
        <is>
          <t>Xử lý công nợ không thu hồi được</t>
        </is>
      </c>
      <c r="B1578" s="6" t="inlineStr">
        <is>
          <t>Settlement of unrecoverable debts</t>
        </is>
      </c>
      <c r="C1578" s="6" t="inlineStr">
        <is>
          <t>冲销无法收回应收帐款</t>
        </is>
      </c>
      <c r="D1578" s="6" t="inlineStr">
        <is>
          <t>沖銷無法收回應收帳款</t>
        </is>
      </c>
    </row>
    <row r="1579" customFormat="1" s="8">
      <c r="A1579" s="6" t="inlineStr">
        <is>
          <t>Xử lý công nợ phải thu</t>
        </is>
      </c>
      <c r="B1579" s="6" t="inlineStr">
        <is>
          <t>Settlement of receivables</t>
        </is>
      </c>
      <c r="C1579" s="6" t="inlineStr">
        <is>
          <t>应收账款冲销</t>
        </is>
      </c>
      <c r="D1579" s="6" t="inlineStr">
        <is>
          <t>應收帳款沖銷</t>
        </is>
      </c>
    </row>
    <row r="1580" customFormat="1" s="8">
      <c r="A1580" s="6" t="inlineStr">
        <is>
          <t>Xử lý công nợ phải trả</t>
        </is>
      </c>
      <c r="B1580" s="6" t="inlineStr">
        <is>
          <t>Settlement of payables</t>
        </is>
      </c>
      <c r="C1580" s="6" t="inlineStr">
        <is>
          <t>应付帐款处理</t>
        </is>
      </c>
      <c r="D1580" s="6" t="inlineStr">
        <is>
          <t>應付帳款處理</t>
        </is>
      </c>
    </row>
    <row r="1581" customFormat="1" s="8">
      <c r="A1581" s="6" t="inlineStr">
        <is>
          <t>Xuất hàng mẫu</t>
        </is>
      </c>
      <c r="B1581" s="6" t="inlineStr">
        <is>
          <t>Delivery of sample products</t>
        </is>
      </c>
      <c r="C1581" s="6" t="inlineStr">
        <is>
          <t>样品交付</t>
        </is>
      </c>
      <c r="D1581" s="6" t="inlineStr">
        <is>
          <t>樣品交付</t>
        </is>
      </c>
    </row>
    <row r="1582" customFormat="1" s="8">
      <c r="A1582" s="6" t="inlineStr">
        <is>
          <t>Tăng vốn trong năm trước</t>
        </is>
      </c>
      <c r="B1582" s="6" t="inlineStr">
        <is>
          <t>Capital increased in prior year</t>
        </is>
      </c>
      <c r="C1582" s="6" t="inlineStr">
        <is>
          <t>上年度的追加资本</t>
        </is>
      </c>
      <c r="D1582" s="6" t="inlineStr">
        <is>
          <t>上年度的追加資本</t>
        </is>
      </c>
    </row>
    <row r="1583" customFormat="1" s="8">
      <c r="A1583" s="6" t="inlineStr">
        <is>
          <t>Doanh thu bán phế liệu</t>
        </is>
      </c>
      <c r="B1583" s="6" t="inlineStr">
        <is>
          <t>Sales from selling scraps</t>
        </is>
      </c>
      <c r="C1583" s="6" t="inlineStr">
        <is>
          <t>废料销售收入</t>
        </is>
      </c>
      <c r="D1583" s="6" t="inlineStr">
        <is>
          <t>廢料銷售收入</t>
        </is>
      </c>
    </row>
    <row r="1584" customFormat="1" s="8">
      <c r="A1584" s="6" t="inlineStr">
        <is>
          <t>Phát sinh tăng trong năm</t>
        </is>
      </c>
      <c r="B1584" s="6" t="inlineStr">
        <is>
          <t>Additions</t>
        </is>
      </c>
      <c r="C1584" s="6" t="inlineStr">
        <is>
          <t>年度内增加</t>
        </is>
      </c>
      <c r="D1584" s="6" t="inlineStr">
        <is>
          <t>年度內增加</t>
        </is>
      </c>
    </row>
    <row r="1585" customFormat="1" s="8">
      <c r="A1585" s="6" t="inlineStr">
        <is>
          <t>Phụ lục hợp đồng</t>
        </is>
      </c>
      <c r="B1585" s="6" t="inlineStr">
        <is>
          <t>Addendum</t>
        </is>
      </c>
      <c r="C1585" s="6" t="inlineStr">
        <is>
          <t>合同附件</t>
        </is>
      </c>
      <c r="D1585" s="6" t="inlineStr">
        <is>
          <t>合約附件</t>
        </is>
      </c>
    </row>
    <row r="1586" ht="27.6" customFormat="1" customHeight="1" s="8">
      <c r="A1586" s="6" t="inlineStr">
        <is>
          <t>Tăng vốn trong năm</t>
        </is>
      </c>
      <c r="B1586" s="6" t="inlineStr">
        <is>
          <t>Capital increased in current year</t>
        </is>
      </c>
      <c r="C1586" s="6" t="inlineStr">
        <is>
          <t>本年度的追加资本</t>
        </is>
      </c>
      <c r="D1586" s="6" t="inlineStr">
        <is>
          <t>本年度的追加資本</t>
        </is>
      </c>
    </row>
    <row r="1587" customFormat="1" s="8">
      <c r="A1587" s="6" t="inlineStr">
        <is>
          <t>Chi phí dự phòng</t>
        </is>
      </c>
      <c r="B1587" s="6" t="inlineStr">
        <is>
          <t>Provisions</t>
        </is>
      </c>
      <c r="C1587" s="6" t="inlineStr">
        <is>
          <t>准备金（备抵）</t>
        </is>
      </c>
      <c r="D1587" s="6" t="inlineStr">
        <is>
          <t>準備金（備抵）</t>
        </is>
      </c>
    </row>
    <row r="1588" customFormat="1" s="8">
      <c r="A1588" s="6" t="inlineStr">
        <is>
          <t>Chi phí thuê văn phòng</t>
        </is>
      </c>
      <c r="B1588" s="6" t="inlineStr">
        <is>
          <t>Office lease</t>
        </is>
      </c>
      <c r="C1588" s="6" t="inlineStr">
        <is>
          <t>办公室租赁费用</t>
        </is>
      </c>
      <c r="D1588" s="6" t="inlineStr">
        <is>
          <t>辦公室租賃費用</t>
        </is>
      </c>
    </row>
    <row r="1589" customFormat="1" s="11">
      <c r="A1589" s="6" t="inlineStr">
        <is>
          <t>Mục đích</t>
        </is>
      </c>
      <c r="B1589" s="6" t="inlineStr">
        <is>
          <t>Intended use</t>
        </is>
      </c>
      <c r="C1589" s="6" t="inlineStr">
        <is>
          <t>用途</t>
        </is>
      </c>
      <c r="D1589" s="6" t="inlineStr">
        <is>
          <t>用途</t>
        </is>
      </c>
    </row>
    <row r="1590" customFormat="1" s="11">
      <c r="A1590" s="6" t="inlineStr">
        <is>
          <t>Người Đài Loan</t>
        </is>
      </c>
      <c r="B1590" s="6" t="inlineStr">
        <is>
          <t>Taiwanese</t>
        </is>
      </c>
      <c r="C1590" s="6" t="inlineStr">
        <is>
          <t>台湾国籍</t>
        </is>
      </c>
      <c r="D1590" s="6" t="inlineStr">
        <is>
          <t>臺灣國籍</t>
        </is>
      </c>
    </row>
    <row r="1591" customFormat="1" s="11">
      <c r="A1591" s="6" t="inlineStr">
        <is>
          <t>Số cuối kỳ</t>
        </is>
      </c>
      <c r="B1591" s="6" t="inlineStr">
        <is>
          <t>Closing balance</t>
        </is>
      </c>
      <c r="C1591" s="6" t="inlineStr">
        <is>
          <t>期末余额</t>
        </is>
      </c>
      <c r="D1591" s="6" t="inlineStr">
        <is>
          <t>期末餘額</t>
        </is>
      </c>
    </row>
    <row r="1592" ht="27.6" customFormat="1" customHeight="1" s="11">
      <c r="A1592" s="6" t="inlineStr">
        <is>
          <t>Vay/(Trả vay)</t>
        </is>
      </c>
      <c r="B1592" s="6" t="inlineStr">
        <is>
          <t>Borrowings/(Repayment of borrowings)</t>
        </is>
      </c>
      <c r="C1592" s="6" t="inlineStr">
        <is>
          <t>借款/(偿还借款)</t>
        </is>
      </c>
      <c r="D1592" s="6" t="inlineStr">
        <is>
          <t>借款/(償還借款)</t>
        </is>
      </c>
    </row>
    <row r="1593" customFormat="1" s="11">
      <c r="A1593" s="6" t="inlineStr">
        <is>
          <t>Số đầu kỳ</t>
        </is>
      </c>
      <c r="B1593" s="6" t="inlineStr">
        <is>
          <t>Opening balance</t>
        </is>
      </c>
      <c r="C1593" s="6" t="inlineStr">
        <is>
          <t>期初余额</t>
        </is>
      </c>
      <c r="D1593" s="6" t="inlineStr">
        <is>
          <t>期初餘額</t>
        </is>
      </c>
    </row>
    <row r="1594" customFormat="1" s="11">
      <c r="A1594" s="6" t="inlineStr">
        <is>
          <t>Hạn mức tín dụng</t>
        </is>
      </c>
      <c r="B1594" s="6" t="inlineStr">
        <is>
          <t>Credit limit</t>
        </is>
      </c>
      <c r="C1594" s="6" t="inlineStr">
        <is>
          <t>信贷额度</t>
        </is>
      </c>
      <c r="D1594" s="6" t="inlineStr">
        <is>
          <t>信貸額度</t>
        </is>
      </c>
    </row>
    <row r="1595" customFormat="1" s="11">
      <c r="A1595" s="6" t="inlineStr">
        <is>
          <t>Kỳ hạn</t>
        </is>
      </c>
      <c r="B1595" s="6" t="inlineStr">
        <is>
          <t>Term</t>
        </is>
      </c>
      <c r="C1595" s="6" t="inlineStr">
        <is>
          <t>期限</t>
        </is>
      </c>
      <c r="D1595" s="6" t="inlineStr">
        <is>
          <t>期限</t>
        </is>
      </c>
    </row>
    <row r="1596" customFormat="1" s="11">
      <c r="A1596" s="6" t="inlineStr">
        <is>
          <t>Bên liên kết</t>
        </is>
      </c>
      <c r="B1596" s="6" t="inlineStr">
        <is>
          <t>Associates</t>
        </is>
      </c>
      <c r="C1596" s="6" t="inlineStr">
        <is>
          <t>关联方</t>
        </is>
      </c>
      <c r="D1596" s="6" t="inlineStr">
        <is>
          <t>關聯方</t>
        </is>
      </c>
    </row>
    <row r="1597" ht="27.6" customFormat="1" customHeight="1" s="11">
      <c r="A1597" s="6" t="inlineStr">
        <is>
          <t>Chi phí trả trước về thuê quyền sử dụng đất</t>
        </is>
      </c>
      <c r="B1597" s="6" t="inlineStr">
        <is>
          <t>Prepaid expenses for land use right lease</t>
        </is>
      </c>
      <c r="C1597" s="6" t="inlineStr">
        <is>
          <t>土地使用权租赁预付费用</t>
        </is>
      </c>
      <c r="D1597" s="6" t="inlineStr">
        <is>
          <t>土地使用權租賃預付費用</t>
        </is>
      </c>
    </row>
    <row r="1598" ht="27.6" customFormat="1" customHeight="1" s="11">
      <c r="A1598" s="6" t="inlineStr">
        <is>
          <t>Chủ tịch Hội đồng Thành viên</t>
        </is>
      </c>
      <c r="B1598" s="6" t="inlineStr">
        <is>
          <t>Chairman of the Board of Members</t>
        </is>
      </c>
      <c r="C1598" s="6" t="inlineStr">
        <is>
          <t>董事长</t>
        </is>
      </c>
      <c r="D1598" s="6" t="inlineStr">
        <is>
          <t>董事長</t>
        </is>
      </c>
    </row>
    <row r="1599" customFormat="1" s="11">
      <c r="A1599" s="6" t="inlineStr">
        <is>
          <t>Số tiền vay</t>
        </is>
      </c>
      <c r="B1599" s="6" t="inlineStr">
        <is>
          <t>Loan amount</t>
        </is>
      </c>
      <c r="C1599" s="6" t="inlineStr">
        <is>
          <t>借款金额</t>
        </is>
      </c>
      <c r="D1599" s="6" t="inlineStr">
        <is>
          <t>借款金額</t>
        </is>
      </c>
    </row>
    <row r="1600" ht="27.6" customFormat="1" customHeight="1" s="11">
      <c r="A1600" s="6" t="inlineStr">
        <is>
          <t>Tiền mượn của Tổng Giám đốc</t>
        </is>
      </c>
      <c r="B1600" s="6" t="inlineStr">
        <is>
          <t>Borrowings from General Director</t>
        </is>
      </c>
      <c r="C1600" s="6" t="inlineStr">
        <is>
          <t>向总经理借用的款项</t>
        </is>
      </c>
      <c r="D1600" s="6" t="inlineStr">
        <is>
          <t>向總經理借用的款項</t>
        </is>
      </c>
    </row>
    <row r="1601" customFormat="1" s="11">
      <c r="A1601" s="6" t="inlineStr">
        <is>
          <t>Đã phân bổ trong năm</t>
        </is>
      </c>
      <c r="B1601" s="6" t="inlineStr">
        <is>
          <t>Allocation</t>
        </is>
      </c>
      <c r="C1601" s="6" t="inlineStr">
        <is>
          <t>年度内已摊销额</t>
        </is>
      </c>
      <c r="D1601" s="6" t="inlineStr">
        <is>
          <t>年度內已攤銷額</t>
        </is>
      </c>
    </row>
    <row r="1602" customFormat="1" s="11">
      <c r="A1602" s="6" t="inlineStr">
        <is>
          <t>Số tài khoản</t>
        </is>
      </c>
      <c r="B1602" s="6" t="inlineStr">
        <is>
          <t>Account No.</t>
        </is>
      </c>
      <c r="C1602" s="6" t="inlineStr">
        <is>
          <t>银行账号</t>
        </is>
      </c>
      <c r="D1602" s="6" t="inlineStr">
        <is>
          <t>銀行帳號</t>
        </is>
      </c>
    </row>
    <row r="1603" customFormat="1" s="11">
      <c r="A1603" s="6" t="inlineStr">
        <is>
          <t>Tăng vốn trong kỳ</t>
        </is>
      </c>
      <c r="B1603" s="6" t="inlineStr">
        <is>
          <t>Capital increased in the period</t>
        </is>
      </c>
      <c r="C1603" s="6" t="inlineStr">
        <is>
          <t>期内追加资本</t>
        </is>
      </c>
      <c r="D1603" s="6" t="inlineStr">
        <is>
          <t>期內追加資本</t>
        </is>
      </c>
    </row>
    <row r="1604" ht="27.6" customFormat="1" customHeight="1" s="11">
      <c r="A1604" s="6" t="inlineStr">
        <is>
          <t>Vay/Phân loại trong năm</t>
        </is>
      </c>
      <c r="B1604" s="6" t="inlineStr">
        <is>
          <t>Borrowed/ Classified in the year</t>
        </is>
      </c>
      <c r="C1604" s="6" t="inlineStr">
        <is>
          <t>年度内借款/重分类</t>
        </is>
      </c>
      <c r="D1604" s="6" t="inlineStr">
        <is>
          <t>年度內借款/重分類</t>
        </is>
      </c>
    </row>
    <row r="1605" customFormat="1" s="11">
      <c r="A1605" s="6" t="inlineStr">
        <is>
          <t>Công ty cùng chủ sở hữu</t>
        </is>
      </c>
      <c r="B1605" s="6" t="inlineStr">
        <is>
          <t>Same owner</t>
        </is>
      </c>
      <c r="C1605" s="6" t="inlineStr">
        <is>
          <t>同一所有者公司</t>
        </is>
      </c>
      <c r="D1605" s="6" t="inlineStr">
        <is>
          <t>同一所有者公司</t>
        </is>
      </c>
    </row>
    <row r="1606" customFormat="1" s="11">
      <c r="A1606" s="6" t="inlineStr">
        <is>
          <t>Lãi cho vay</t>
        </is>
      </c>
      <c r="B1606" s="6" t="inlineStr">
        <is>
          <t>Interest on loans granted</t>
        </is>
      </c>
      <c r="C1606" s="6" t="inlineStr">
        <is>
          <t>放贷（出借款）利息</t>
        </is>
      </c>
      <c r="D1606" s="6" t="inlineStr">
        <is>
          <t>放貸（出借款）利息</t>
        </is>
      </c>
    </row>
    <row r="1607" customFormat="1" s="11">
      <c r="A1607" s="6" t="inlineStr">
        <is>
          <t>Số đầu năm (trình bày lại)</t>
        </is>
      </c>
      <c r="B1607" s="6" t="inlineStr">
        <is>
          <t>Opening balance (restated)</t>
        </is>
      </c>
      <c r="C1607" s="6" t="inlineStr">
        <is>
          <t>年初余额（重新陈述）</t>
        </is>
      </c>
      <c r="D1607" s="6" t="inlineStr">
        <is>
          <t>年初餘額（重新陳述）</t>
        </is>
      </c>
    </row>
    <row r="1608" customFormat="1" s="11">
      <c r="A1608" s="6" t="inlineStr">
        <is>
          <t>Tài sản cố định khác</t>
        </is>
      </c>
      <c r="B1608" s="6" t="inlineStr">
        <is>
          <t>Others</t>
        </is>
      </c>
      <c r="C1608" s="6" t="inlineStr">
        <is>
          <t>其他固定资产</t>
        </is>
      </c>
      <c r="D1608" s="6" t="inlineStr">
        <is>
          <t>其他固定資產</t>
        </is>
      </c>
    </row>
    <row r="1609" customFormat="1" s="11">
      <c r="A1609" s="6" t="inlineStr">
        <is>
          <t>Thành lập tại Samoa</t>
        </is>
      </c>
      <c r="B1609" s="6" t="inlineStr">
        <is>
          <t>Incorporated in Samoa</t>
        </is>
      </c>
      <c r="C1609" s="6" t="inlineStr">
        <is>
          <t>在萨摩亚（Samoa）成立</t>
        </is>
      </c>
      <c r="D1609" s="6" t="inlineStr">
        <is>
          <t>在薩摩亞（Samoa）成立</t>
        </is>
      </c>
    </row>
    <row r="1610" customFormat="1" s="11">
      <c r="A1610" s="6" t="inlineStr">
        <is>
          <t>Tiền thuê đất trả trước</t>
        </is>
      </c>
      <c r="B1610" s="6" t="inlineStr">
        <is>
          <t>Prepaid land rent</t>
        </is>
      </c>
      <c r="C1610" s="6" t="inlineStr">
        <is>
          <t>预付土地租金</t>
        </is>
      </c>
      <c r="D1610" s="6" t="inlineStr">
        <is>
          <t>預付土地租金</t>
        </is>
      </c>
    </row>
    <row r="1611" customFormat="1" s="11">
      <c r="A1611" s="6" t="inlineStr">
        <is>
          <t>Đối tượng</t>
        </is>
      </c>
      <c r="B1611" s="6" t="inlineStr">
        <is>
          <t>Debtor</t>
        </is>
      </c>
      <c r="C1611" s="6" t="inlineStr">
        <is>
          <t>对象</t>
        </is>
      </c>
      <c r="D1611" s="6" t="inlineStr">
        <is>
          <t>對象</t>
        </is>
      </c>
    </row>
    <row r="1612" ht="27.6" customFormat="1" customHeight="1" s="11">
      <c r="A1612" s="6" t="inlineStr">
        <is>
          <t>Mua nguyên vật liệu, công cụ dụng cụ</t>
        </is>
      </c>
      <c r="B1612" s="6" t="inlineStr">
        <is>
          <t>Purchase of raw materials, tools and supplies</t>
        </is>
      </c>
      <c r="C1612" s="6" t="inlineStr">
        <is>
          <t>购买原材料、工具用具</t>
        </is>
      </c>
      <c r="D1612" s="6" t="inlineStr">
        <is>
          <t>購買原材料、工具用具</t>
        </is>
      </c>
    </row>
    <row r="1613" ht="27.6" customFormat="1" customHeight="1" s="11">
      <c r="A1613" s="6" t="inlineStr">
        <is>
          <t>Thành viên Hội đồng Thành viên</t>
        </is>
      </c>
      <c r="B1613" s="6" t="inlineStr">
        <is>
          <t>Member of the Board of Members</t>
        </is>
      </c>
      <c r="C1613" s="6" t="inlineStr">
        <is>
          <t>董事</t>
        </is>
      </c>
      <c r="D1613" s="6" t="inlineStr">
        <is>
          <t>董事</t>
        </is>
      </c>
    </row>
    <row r="1614" customFormat="1" s="11">
      <c r="A1614" s="6" t="inlineStr">
        <is>
          <t>Các khoản ký quỹ, ký cược</t>
        </is>
      </c>
      <c r="B1614" s="6" t="inlineStr">
        <is>
          <t>Deposits and mortgages</t>
        </is>
      </c>
      <c r="C1614" s="6" t="inlineStr">
        <is>
          <t>各项保证金</t>
        </is>
      </c>
      <c r="D1614" s="6" t="inlineStr">
        <is>
          <t>各項保證金</t>
        </is>
      </c>
    </row>
    <row r="1615" customFormat="1" s="11">
      <c r="A1615" s="6" t="inlineStr">
        <is>
          <t>Chi phí nguyên vật liệu, bao bì</t>
        </is>
      </c>
      <c r="B1615" s="6" t="inlineStr">
        <is>
          <t>Materials and packing</t>
        </is>
      </c>
      <c r="C1615" s="6" t="inlineStr">
        <is>
          <t>原材料、包装费用</t>
        </is>
      </c>
      <c r="D1615" s="6" t="inlineStr">
        <is>
          <t>原材料、包裝費用</t>
        </is>
      </c>
    </row>
    <row r="1616" customFormat="1" s="11">
      <c r="A1616" s="6" t="inlineStr">
        <is>
          <t>Chi phí thuế, phí, lệ phí</t>
        </is>
      </c>
      <c r="B1616" s="6" t="inlineStr">
        <is>
          <t>Taxes, fees and charges</t>
        </is>
      </c>
      <c r="C1616" s="6" t="inlineStr">
        <is>
          <t>税费、规费和例费</t>
        </is>
      </c>
      <c r="D1616" s="6" t="inlineStr">
        <is>
          <t>稅費、規費和例費</t>
        </is>
      </c>
    </row>
    <row r="1617" customFormat="1" s="11">
      <c r="A1617" s="6" t="inlineStr">
        <is>
          <t>Chi phí văn phòng</t>
        </is>
      </c>
      <c r="B1617" s="6" t="inlineStr">
        <is>
          <t>Office</t>
        </is>
      </c>
      <c r="C1617" s="6" t="inlineStr">
        <is>
          <t>办公费用</t>
        </is>
      </c>
      <c r="D1617" s="6" t="inlineStr">
        <is>
          <t>辦公費用</t>
        </is>
      </c>
    </row>
    <row r="1618" customFormat="1" s="11">
      <c r="A1618" s="6" t="inlineStr">
        <is>
          <t>Đặt cọc thuê nhà</t>
        </is>
      </c>
      <c r="B1618" s="6" t="inlineStr">
        <is>
          <t>Deposit for house lease</t>
        </is>
      </c>
      <c r="C1618" s="6" t="inlineStr">
        <is>
          <t>房屋租赁押金</t>
        </is>
      </c>
      <c r="D1618" s="6" t="inlineStr">
        <is>
          <t>房屋租賃押金</t>
        </is>
      </c>
    </row>
    <row r="1619" customFormat="1" s="11">
      <c r="A1619" s="6" t="inlineStr">
        <is>
          <t>Góp vốn trong năm</t>
        </is>
      </c>
      <c r="B1619" s="6" t="inlineStr">
        <is>
          <t>Capital contributed in the year</t>
        </is>
      </c>
      <c r="C1619" s="6" t="inlineStr">
        <is>
          <t>年度内出资</t>
        </is>
      </c>
      <c r="D1619" s="6" t="inlineStr">
        <is>
          <t>年度內出資</t>
        </is>
      </c>
    </row>
    <row r="1620" customFormat="1" s="11">
      <c r="A1620" s="6" t="inlineStr">
        <is>
          <t>Hạn mức (VND)</t>
        </is>
      </c>
      <c r="B1620" s="6" t="inlineStr">
        <is>
          <t>Limit (VND)</t>
        </is>
      </c>
      <c r="C1620" s="6" t="inlineStr">
        <is>
          <t>限额（越南盾）</t>
        </is>
      </c>
      <c r="D1620" s="6" t="inlineStr">
        <is>
          <t>限額（越南盾）</t>
        </is>
      </c>
    </row>
    <row r="1621" ht="27.6" customFormat="1" customHeight="1" s="11">
      <c r="A1621" s="6" t="inlineStr">
        <is>
          <t>Lỗ chênh lệch tỷ giá do đánh giá lại cuối kỳ</t>
        </is>
      </c>
      <c r="B1621" s="6" t="inlineStr">
        <is>
          <t>Foreign exchange loss from year-end revaluation</t>
        </is>
      </c>
      <c r="C1621" s="6" t="inlineStr">
        <is>
          <t>期末重估的汇兑损失</t>
        </is>
      </c>
      <c r="D1621" s="6" t="inlineStr">
        <is>
          <t>期末重估的匯兌損失</t>
        </is>
      </c>
    </row>
    <row r="1622" customFormat="1" s="11">
      <c r="A1622" s="6" t="inlineStr">
        <is>
          <t>Năm trước (trình bày lại)</t>
        </is>
      </c>
      <c r="B1622" s="6" t="inlineStr">
        <is>
          <t>Prior year (Restated)</t>
        </is>
      </c>
      <c r="C1622" s="6" t="inlineStr">
        <is>
          <t>去年（重新陈述）</t>
        </is>
      </c>
      <c r="D1622" s="6" t="inlineStr">
        <is>
          <t>去年（重新陳述）</t>
        </is>
      </c>
    </row>
    <row r="1623" customFormat="1" s="11">
      <c r="A1623" s="6" t="inlineStr">
        <is>
          <t>Tăng vốn bằng tiền</t>
        </is>
      </c>
      <c r="B1623" s="6" t="inlineStr">
        <is>
          <t>Capital increase in cash</t>
        </is>
      </c>
      <c r="C1623" s="6" t="inlineStr">
        <is>
          <t>货币增资</t>
        </is>
      </c>
      <c r="D1623" s="6" t="inlineStr">
        <is>
          <t>貨幣增資</t>
        </is>
      </c>
    </row>
    <row r="1624" customFormat="1" s="11">
      <c r="A1624" s="6" t="inlineStr">
        <is>
          <t>Tăng vốn năm trước</t>
        </is>
      </c>
      <c r="B1624" s="6" t="inlineStr">
        <is>
          <t>Capital increased in prior year</t>
        </is>
      </c>
      <c r="C1624" s="6" t="inlineStr">
        <is>
          <t>上年度的追加资本</t>
        </is>
      </c>
      <c r="D1624" s="6" t="inlineStr">
        <is>
          <t>上年度的追加資本</t>
        </is>
      </c>
    </row>
    <row r="1625" customFormat="1" s="11">
      <c r="A1625" s="6" t="inlineStr">
        <is>
          <t>Chênh lệch tỷ giá</t>
        </is>
      </c>
      <c r="B1625" s="6" t="inlineStr">
        <is>
          <t>Exchange differences</t>
        </is>
      </c>
      <c r="C1625" s="6" t="inlineStr">
        <is>
          <t>汇兑差额</t>
        </is>
      </c>
      <c r="D1625" s="6" t="inlineStr">
        <is>
          <t>匯兌差額</t>
        </is>
      </c>
    </row>
    <row r="1626" customFormat="1" s="11">
      <c r="A1626" s="6" t="inlineStr">
        <is>
          <t>Chi phí vật liệu</t>
        </is>
      </c>
      <c r="B1626" s="6" t="inlineStr">
        <is>
          <t>Materials</t>
        </is>
      </c>
      <c r="C1626" s="6" t="inlineStr">
        <is>
          <t>材料费用</t>
        </is>
      </c>
      <c r="D1626" s="6" t="inlineStr">
        <is>
          <t>材料費用</t>
        </is>
      </c>
    </row>
    <row r="1627" customFormat="1" s="11">
      <c r="A1627" s="6" t="inlineStr">
        <is>
          <t>Chủ đầu tư - Tổng Giám đốc</t>
        </is>
      </c>
      <c r="B1627" s="6" t="inlineStr">
        <is>
          <t>Investor - General Director</t>
        </is>
      </c>
      <c r="C1627" s="6" t="inlineStr">
        <is>
          <t>投资者 - 总经理</t>
        </is>
      </c>
      <c r="D1627" s="6" t="inlineStr">
        <is>
          <t>投資者 - 總經理</t>
        </is>
      </c>
    </row>
    <row r="1628" customFormat="1" s="11">
      <c r="A1628" s="6" t="inlineStr">
        <is>
          <t>EUR</t>
        </is>
      </c>
      <c r="B1628" s="6" t="inlineStr">
        <is>
          <t>- EUR</t>
        </is>
      </c>
      <c r="C1628" s="6" t="inlineStr">
        <is>
          <t>欧元</t>
        </is>
      </c>
      <c r="D1628" s="6" t="inlineStr">
        <is>
          <t>歐元</t>
        </is>
      </c>
    </row>
    <row r="1629" ht="27.6" customFormat="1" customHeight="1" s="11">
      <c r="A1629" s="6" t="inlineStr">
        <is>
          <t>Ngân hàng First Commercial Bank</t>
        </is>
      </c>
      <c r="B1629" s="6" t="inlineStr">
        <is>
          <t>First Commercial Bank</t>
        </is>
      </c>
      <c r="C1629" s="6" t="inlineStr">
        <is>
          <t>第一商业银行</t>
        </is>
      </c>
      <c r="D1629" s="6" t="inlineStr">
        <is>
          <t>第一商業銀行</t>
        </is>
      </c>
    </row>
    <row r="1630" ht="27.6" customFormat="1" customHeight="1" s="11">
      <c r="A1630" s="6" t="inlineStr">
        <is>
          <t>Các khoản đặt cọc, ký quỹ, ký cược</t>
        </is>
      </c>
      <c r="B1630" s="6" t="inlineStr">
        <is>
          <t>Deposits and mortgages</t>
        </is>
      </c>
      <c r="C1630" s="6" t="inlineStr">
        <is>
          <t>各项订金、押金和保证金</t>
        </is>
      </c>
      <c r="D1630" s="6" t="inlineStr">
        <is>
          <t>各項訂金、押金和保證金</t>
        </is>
      </c>
    </row>
    <row r="1631" customFormat="1" s="11">
      <c r="A1631" s="6" t="inlineStr">
        <is>
          <t>Chi phí công cụ, dụng cụ</t>
        </is>
      </c>
      <c r="B1631" s="6" t="inlineStr">
        <is>
          <t>Tools and supplies</t>
        </is>
      </c>
      <c r="C1631" s="6" t="inlineStr">
        <is>
          <t>工具、用具费用</t>
        </is>
      </c>
      <c r="D1631" s="6" t="inlineStr">
        <is>
          <t>工具、用具費用</t>
        </is>
      </c>
    </row>
    <row r="1632" customFormat="1" s="11">
      <c r="A1632" s="6" t="inlineStr">
        <is>
          <t>Chi phí sửa chữa</t>
        </is>
      </c>
      <c r="B1632" s="6" t="inlineStr">
        <is>
          <t>Repair expenses</t>
        </is>
      </c>
      <c r="C1632" s="6" t="inlineStr">
        <is>
          <t>维修费用</t>
        </is>
      </c>
      <c r="D1632" s="6" t="inlineStr">
        <is>
          <t>維修費用</t>
        </is>
      </c>
    </row>
    <row r="1633" customFormat="1" s="11">
      <c r="A1633" s="6" t="inlineStr">
        <is>
          <t>Chủ sở hữu, Tổng Giám đốc</t>
        </is>
      </c>
      <c r="B1633" s="6" t="inlineStr">
        <is>
          <t>Owner,  General Director</t>
        </is>
      </c>
      <c r="C1633" s="6" t="inlineStr">
        <is>
          <t>所有者兼总经理</t>
        </is>
      </c>
      <c r="D1633" s="6" t="inlineStr">
        <is>
          <t>所有者兼總經理</t>
        </is>
      </c>
    </row>
    <row r="1634" customFormat="1" s="11">
      <c r="A1634" s="6" t="inlineStr">
        <is>
          <t>Doanh thu bán nguyên vật liệu</t>
        </is>
      </c>
      <c r="B1634" s="6" t="inlineStr">
        <is>
          <t>Materials sold</t>
        </is>
      </c>
      <c r="C1634" s="6" t="inlineStr">
        <is>
          <t>原材料销售收入</t>
        </is>
      </c>
      <c r="D1634" s="6" t="inlineStr">
        <is>
          <t>原材料銷售收入</t>
        </is>
      </c>
    </row>
    <row r="1635" customFormat="1" s="11">
      <c r="A1635" s="6" t="inlineStr">
        <is>
          <t>Giám đốc Tài chính</t>
        </is>
      </c>
      <c r="B1635" s="6" t="inlineStr">
        <is>
          <t>Chief Financial Officer</t>
        </is>
      </c>
      <c r="C1635" s="6" t="inlineStr">
        <is>
          <t>财务总监</t>
        </is>
      </c>
      <c r="D1635" s="6" t="inlineStr">
        <is>
          <t>財務總監</t>
        </is>
      </c>
    </row>
    <row r="1636" customFormat="1" s="11">
      <c r="A1636" s="6" t="inlineStr">
        <is>
          <t>Giám đốc tài chính</t>
        </is>
      </c>
      <c r="B1636" s="6" t="inlineStr">
        <is>
          <t>Chief Financial Officer</t>
        </is>
      </c>
      <c r="C1636" s="6" t="inlineStr">
        <is>
          <t>财务总监</t>
        </is>
      </c>
      <c r="D1636" s="6" t="inlineStr">
        <is>
          <t>財務總監</t>
        </is>
      </c>
    </row>
    <row r="1637" customFormat="1" s="11">
      <c r="A1637" s="6" t="inlineStr">
        <is>
          <t>Lãi vay</t>
        </is>
      </c>
      <c r="B1637" s="6" t="inlineStr">
        <is>
          <t>Interest expenses</t>
        </is>
      </c>
      <c r="C1637" s="6" t="inlineStr">
        <is>
          <t>借款利息</t>
        </is>
      </c>
      <c r="D1637" s="6" t="inlineStr">
        <is>
          <t>借款利息</t>
        </is>
      </c>
    </row>
    <row r="1638" ht="27.6" customFormat="1" customHeight="1" s="11">
      <c r="A1638" s="6" t="inlineStr">
        <is>
          <t>Ngân hàng TMCP Ngoại thương Việt Nam</t>
        </is>
      </c>
      <c r="B1638" s="6" t="inlineStr">
        <is>
          <t>Joint Stock Commercial Bank for Foreign Trade of Vietnam</t>
        </is>
      </c>
      <c r="C1638" s="6" t="inlineStr">
        <is>
          <t>越南外贸股份商业银行</t>
        </is>
      </c>
      <c r="D1638" s="6" t="inlineStr">
        <is>
          <t>越南外貿股份商業銀行</t>
        </is>
      </c>
    </row>
    <row r="1639" ht="27.6" customFormat="1" customHeight="1" s="11">
      <c r="A1639" s="6" t="inlineStr">
        <is>
          <t>Phải thu bảo hiểm xã hội</t>
        </is>
      </c>
      <c r="B1639" s="6" t="inlineStr">
        <is>
          <t>Social insurance premium receivable</t>
        </is>
      </c>
      <c r="C1639" s="6" t="inlineStr">
        <is>
          <t>应收社会保险</t>
        </is>
      </c>
      <c r="D1639" s="6" t="inlineStr">
        <is>
          <t>應收社會保險</t>
        </is>
      </c>
    </row>
    <row r="1640" customFormat="1" s="11">
      <c r="A1640" s="6" t="inlineStr">
        <is>
          <t>Trích trước lãi vay</t>
        </is>
      </c>
      <c r="B1640" s="6" t="inlineStr">
        <is>
          <t>Accrual for interest expenses</t>
        </is>
      </c>
      <c r="C1640" s="6" t="inlineStr">
        <is>
          <t>预提借款利息</t>
        </is>
      </c>
      <c r="D1640" s="6" t="inlineStr">
        <is>
          <t>預提借款利息</t>
        </is>
      </c>
    </row>
    <row r="1641" customFormat="1" s="11">
      <c r="A1641" s="6" t="inlineStr">
        <is>
          <t>Đặt cọc thuê căn hộ</t>
        </is>
      </c>
      <c r="B1641" s="6" t="inlineStr">
        <is>
          <t>Deposit for apartment lease</t>
        </is>
      </c>
      <c r="C1641" s="6" t="inlineStr">
        <is>
          <t>房屋租赁押金</t>
        </is>
      </c>
      <c r="D1641" s="6" t="inlineStr">
        <is>
          <t>房屋租賃押金</t>
        </is>
      </c>
    </row>
    <row r="1642" customFormat="1" s="11">
      <c r="A1642" s="6" t="inlineStr">
        <is>
          <t>Giá trị có thể thu hồi</t>
        </is>
      </c>
      <c r="B1642" s="6" t="inlineStr">
        <is>
          <t>Recoverable amounts</t>
        </is>
      </c>
      <c r="C1642" s="6" t="inlineStr">
        <is>
          <t>可收回价值</t>
        </is>
      </c>
      <c r="D1642" s="6" t="inlineStr">
        <is>
          <t>可收回價值</t>
        </is>
      </c>
    </row>
    <row r="1643" ht="27.6" customFormat="1" customHeight="1" s="11">
      <c r="A1643" s="6" t="inlineStr">
        <is>
          <t>Giá vốn thành phẩm đã bán và dịch vụ đã cung cấp</t>
        </is>
      </c>
      <c r="B1643" s="6" t="inlineStr">
        <is>
          <t>Cost of finished goods sold and services supplied</t>
        </is>
      </c>
      <c r="C1643" s="6" t="inlineStr">
        <is>
          <t>已售成品和已提供劳务成本</t>
        </is>
      </c>
      <c r="D1643" s="6" t="inlineStr">
        <is>
          <t>已售成品和已提供勞務成本</t>
        </is>
      </c>
    </row>
    <row r="1644" customFormat="1" s="11">
      <c r="A1644" s="6" t="inlineStr">
        <is>
          <t>Ngân hàng Sinopac</t>
        </is>
      </c>
      <c r="B1644" s="6" t="inlineStr">
        <is>
          <t>Bank SinoPac</t>
        </is>
      </c>
      <c r="C1644" s="6" t="inlineStr">
        <is>
          <t>新韩银行</t>
        </is>
      </c>
      <c r="D1644" s="6" t="inlineStr">
        <is>
          <t>新韓銀行 - 胡志明市分行</t>
        </is>
      </c>
    </row>
    <row r="1645" customFormat="1" s="11">
      <c r="A1645" s="6" t="inlineStr">
        <is>
          <t>Phải thu của khách hàng</t>
        </is>
      </c>
      <c r="B1645" s="6" t="inlineStr">
        <is>
          <t>Trade accounts receivable</t>
        </is>
      </c>
      <c r="C1645" s="6" t="inlineStr">
        <is>
          <t>客户应收款</t>
        </is>
      </c>
      <c r="D1645" s="6" t="inlineStr">
        <is>
          <t>客戶應收款</t>
        </is>
      </c>
    </row>
    <row r="1646" ht="27.6" customFormat="1" customHeight="1" s="11">
      <c r="A1646" s="6" t="inlineStr">
        <is>
          <t>Phương tiện vận tải, thiết bị truyền dẫn</t>
        </is>
      </c>
      <c r="B1646" s="6" t="inlineStr">
        <is>
          <t>Means of transport &amp; transmission</t>
        </is>
      </c>
      <c r="C1646" s="6" t="inlineStr">
        <is>
          <t>运输工具、传输设备</t>
        </is>
      </c>
      <c r="D1646" s="6" t="inlineStr">
        <is>
          <t>運輸工具、傳輸設備</t>
        </is>
      </c>
    </row>
    <row r="1647" customFormat="1" s="11">
      <c r="A1647" s="6" t="inlineStr">
        <is>
          <t>Tăng trong kỳ</t>
        </is>
      </c>
      <c r="B1647" s="6" t="inlineStr">
        <is>
          <t>Charge for the year</t>
        </is>
      </c>
      <c r="C1647" s="6" t="inlineStr">
        <is>
          <t>期内增加</t>
        </is>
      </c>
      <c r="D1647" s="6" t="inlineStr">
        <is>
          <t>期內增加</t>
        </is>
      </c>
    </row>
    <row r="1648" customFormat="1" s="11">
      <c r="A1648" s="6" t="inlineStr">
        <is>
          <t>Thời hạn cho vay</t>
        </is>
      </c>
      <c r="B1648" s="6" t="inlineStr">
        <is>
          <t>Loan term</t>
        </is>
      </c>
      <c r="C1648" s="6" t="inlineStr">
        <is>
          <t>放贷（出借款）期限</t>
        </is>
      </c>
      <c r="D1648" s="6" t="inlineStr">
        <is>
          <t>放貸（出借款）期限</t>
        </is>
      </c>
    </row>
    <row r="1649" customFormat="1" s="11">
      <c r="A1649" s="6" t="inlineStr">
        <is>
          <t>Trả tiền</t>
        </is>
      </c>
      <c r="B1649" s="6" t="inlineStr">
        <is>
          <t>Repayments</t>
        </is>
      </c>
      <c r="C1649" s="6" t="inlineStr">
        <is>
          <t>付款</t>
        </is>
      </c>
      <c r="D1649" s="6" t="inlineStr">
        <is>
          <t>付款</t>
        </is>
      </c>
    </row>
    <row r="1650" customFormat="1" s="11">
      <c r="A1650" s="6" t="inlineStr">
        <is>
          <t>Chi phí gia công</t>
        </is>
      </c>
      <c r="B1650" s="6" t="inlineStr">
        <is>
          <t>Processing expenses</t>
        </is>
      </c>
      <c r="C1650" s="6" t="inlineStr">
        <is>
          <t>加工费用</t>
        </is>
      </c>
      <c r="D1650" s="6" t="inlineStr">
        <is>
          <t>加工費用</t>
        </is>
      </c>
    </row>
    <row r="1651" ht="27.6" customFormat="1" customHeight="1" s="11">
      <c r="A1651" s="6" t="inlineStr">
        <is>
          <t>Chi phí thuế thu nhập doanh nghiệp</t>
        </is>
      </c>
      <c r="B1651" s="6" t="inlineStr">
        <is>
          <t>Corporate income tax expense</t>
        </is>
      </c>
      <c r="C1651" s="6" t="inlineStr">
        <is>
          <t>企业所得税费用</t>
        </is>
      </c>
      <c r="D1651" s="6" t="inlineStr">
        <is>
          <t>企業所得稅費用</t>
        </is>
      </c>
    </row>
    <row r="1652" customFormat="1" s="11">
      <c r="A1652" s="6" t="inlineStr">
        <is>
          <t>Chủ sở hữu - Tổng Giám đốc</t>
        </is>
      </c>
      <c r="B1652" s="6" t="inlineStr">
        <is>
          <t>Owner - General Director</t>
        </is>
      </c>
      <c r="C1652" s="6" t="inlineStr">
        <is>
          <t>所有者 - 总经理</t>
        </is>
      </c>
      <c r="D1652" s="6" t="inlineStr">
        <is>
          <t>所有者 - 總經理</t>
        </is>
      </c>
    </row>
    <row r="1653" ht="27.6" customFormat="1" customHeight="1" s="11">
      <c r="A1653" s="6" t="inlineStr">
        <is>
          <t>Chủ sở hữu kiêm Tổng Giám đốc</t>
        </is>
      </c>
      <c r="B1653" s="6" t="inlineStr">
        <is>
          <t>Owner cum General Director</t>
        </is>
      </c>
      <c r="C1653" s="6" t="inlineStr">
        <is>
          <t>所有者兼总经理</t>
        </is>
      </c>
      <c r="D1653" s="6" t="inlineStr">
        <is>
          <t>所有者兼總經理</t>
        </is>
      </c>
    </row>
    <row r="1654" customFormat="1" s="11">
      <c r="A1654" s="6" t="inlineStr">
        <is>
          <t>Cùng chủ đầu tư</t>
        </is>
      </c>
      <c r="B1654" s="6" t="inlineStr">
        <is>
          <t>Same investors</t>
        </is>
      </c>
      <c r="C1654" s="6" t="inlineStr">
        <is>
          <t>同一投资者</t>
        </is>
      </c>
      <c r="D1654" s="6" t="inlineStr">
        <is>
          <t>同一投資者</t>
        </is>
      </c>
    </row>
    <row r="1655" customFormat="1" s="11">
      <c r="A1655" s="6" t="inlineStr">
        <is>
          <t>Đặt cọc thuê kho</t>
        </is>
      </c>
      <c r="B1655" s="6" t="inlineStr">
        <is>
          <t>Deposit for warehouse lease</t>
        </is>
      </c>
      <c r="C1655" s="6" t="inlineStr">
        <is>
          <t>仓库租赁押金</t>
        </is>
      </c>
      <c r="D1655" s="6" t="inlineStr">
        <is>
          <t>倉庫租賃押金</t>
        </is>
      </c>
    </row>
    <row r="1656" customFormat="1" s="11">
      <c r="A1656" s="6" t="inlineStr">
        <is>
          <t>Đặt cọc thuê xe</t>
        </is>
      </c>
      <c r="B1656" s="6" t="inlineStr">
        <is>
          <t>Deposit for car rental</t>
        </is>
      </c>
      <c r="C1656" s="6" t="inlineStr">
        <is>
          <t>车辆租赁押金</t>
        </is>
      </c>
      <c r="D1656" s="6" t="inlineStr">
        <is>
          <t>車輛租賃押金</t>
        </is>
      </c>
    </row>
    <row r="1657" ht="27.6" customFormat="1" customHeight="1" s="11">
      <c r="A1657" s="6" t="inlineStr">
        <is>
          <t>Điều chỉnh giảm thu nhập chịu thuế</t>
        </is>
      </c>
      <c r="B1657" s="6" t="inlineStr">
        <is>
          <t>Adjustments to decrease taxable income</t>
        </is>
      </c>
      <c r="C1657" s="6" t="inlineStr">
        <is>
          <t>课税所得调减</t>
        </is>
      </c>
      <c r="D1657" s="6" t="inlineStr">
        <is>
          <t>課稅所得調減</t>
        </is>
      </c>
    </row>
    <row r="1658" ht="27.6" customFormat="1" customHeight="1" s="11">
      <c r="A1658" s="6" t="inlineStr">
        <is>
          <t>Điều chỉnh tăng thu nhập chịu thuế</t>
        </is>
      </c>
      <c r="B1658" s="6" t="inlineStr">
        <is>
          <t>Adjustments to increase taxable income</t>
        </is>
      </c>
      <c r="C1658" s="6" t="inlineStr">
        <is>
          <t>课税所得调增</t>
        </is>
      </c>
      <c r="D1658" s="6" t="inlineStr">
        <is>
          <t>課稅所得調增</t>
        </is>
      </c>
    </row>
    <row r="1659" customFormat="1" s="11">
      <c r="A1659" s="6" t="inlineStr">
        <is>
          <t>Doanh thu</t>
        </is>
      </c>
      <c r="B1659" s="6" t="inlineStr">
        <is>
          <t>Sales</t>
        </is>
      </c>
      <c r="C1659" s="6" t="inlineStr">
        <is>
          <t>营业收入</t>
        </is>
      </c>
      <c r="D1659" s="6" t="inlineStr">
        <is>
          <t>營業收入</t>
        </is>
      </c>
    </row>
    <row r="1660" ht="55.2" customFormat="1" customHeight="1" s="11">
      <c r="A1660" s="6" t="inlineStr">
        <is>
          <t>Giá trị còn lại cuối năm của tài sản cố định hữu hình đã dùng để thế chấp đảm bảo cho các khoản vay:</t>
        </is>
      </c>
      <c r="B1660" s="6" t="inlineStr">
        <is>
          <t>Carrying amount of tangible fixed assets which were pledged and mortgaged for the borrowings:</t>
        </is>
      </c>
      <c r="C1660" s="6" t="inlineStr">
        <is>
          <t>已用于抵押担保贷款的有形固定资产年末剩余价值：</t>
        </is>
      </c>
      <c r="D1660" s="6" t="inlineStr">
        <is>
          <t>已用於抵押擔保貸款的有形固定資產年末剩餘價值：</t>
        </is>
      </c>
    </row>
    <row r="1661" ht="27.6" customFormat="1" customHeight="1" s="11">
      <c r="A1661" s="6" t="inlineStr">
        <is>
          <t>Giá vốn của thành phẩm và hàng hóa đã bán</t>
        </is>
      </c>
      <c r="B1661" s="6" t="inlineStr">
        <is>
          <t>Cost of finished goods and merchandise sold</t>
        </is>
      </c>
      <c r="C1661" s="6" t="inlineStr">
        <is>
          <t>已售成品和商品成本</t>
        </is>
      </c>
      <c r="D1661" s="6" t="inlineStr">
        <is>
          <t>已售成品和商品成本</t>
        </is>
      </c>
    </row>
    <row r="1662" customFormat="1" s="11">
      <c r="A1662" s="6" t="inlineStr">
        <is>
          <t>Ngoại tệ các loại (JPY)</t>
        </is>
      </c>
      <c r="B1662" s="6" t="inlineStr">
        <is>
          <t>Foreign currencies (JPY)</t>
        </is>
      </c>
      <c r="C1662" s="6" t="inlineStr">
        <is>
          <t>各类外币（日元）</t>
        </is>
      </c>
      <c r="D1662" s="6" t="inlineStr">
        <is>
          <t>各類外幣（日元）</t>
        </is>
      </c>
    </row>
    <row r="1663" customFormat="1" s="11">
      <c r="A1663" s="6" t="inlineStr">
        <is>
          <t>Nhập khẩu phi mậu dịch</t>
        </is>
      </c>
      <c r="B1663" s="6" t="inlineStr">
        <is>
          <t>Non-commercial import</t>
        </is>
      </c>
      <c r="C1663" s="6" t="inlineStr">
        <is>
          <t>非贸易进口</t>
        </is>
      </c>
      <c r="D1663" s="6" t="inlineStr">
        <is>
          <t>非貿易進口</t>
        </is>
      </c>
    </row>
    <row r="1664" customFormat="1" s="11">
      <c r="A1664" s="6" t="inlineStr">
        <is>
          <t>Nợ khó đòi đã xử lý (VND)</t>
        </is>
      </c>
      <c r="B1664" s="6" t="inlineStr">
        <is>
          <t>Bad debts written off (VND)</t>
        </is>
      </c>
      <c r="C1664" s="6" t="inlineStr">
        <is>
          <t>已处理坏账（越南盾）</t>
        </is>
      </c>
      <c r="D1664" s="6" t="inlineStr">
        <is>
          <t>已處理壞賬（越南盾）</t>
        </is>
      </c>
    </row>
    <row r="1665" customFormat="1" s="11">
      <c r="A1665" s="6" t="inlineStr">
        <is>
          <t>Quốc tịch</t>
        </is>
      </c>
      <c r="B1665" s="6" t="inlineStr">
        <is>
          <t>Nationality</t>
        </is>
      </c>
      <c r="C1665" s="6" t="inlineStr">
        <is>
          <t>国籍</t>
        </is>
      </c>
      <c r="D1665" s="6" t="inlineStr">
        <is>
          <t>國籍</t>
        </is>
      </c>
    </row>
    <row r="1666" customFormat="1" s="11">
      <c r="A1666" s="6" t="inlineStr">
        <is>
          <t>Số dư cuối kỳ VND</t>
        </is>
      </c>
      <c r="B1666" s="6" t="inlineStr">
        <is>
          <t>Closing balance (VND)</t>
        </is>
      </c>
      <c r="C1666" s="6" t="inlineStr">
        <is>
          <t>越南盾期末余额</t>
        </is>
      </c>
      <c r="D1666" s="6" t="inlineStr">
        <is>
          <t>越南盾期末餘額</t>
        </is>
      </c>
    </row>
    <row r="1667" customFormat="1" s="11">
      <c r="A1667" s="6" t="inlineStr">
        <is>
          <t>Số tiền (VND)</t>
        </is>
      </c>
      <c r="B1667" s="6" t="inlineStr">
        <is>
          <t>Amount (VND)</t>
        </is>
      </c>
      <c r="C1667" s="6" t="inlineStr">
        <is>
          <t>金额（越南盾）</t>
        </is>
      </c>
      <c r="D1667" s="6" t="inlineStr">
        <is>
          <t>金額（越南盾）</t>
        </is>
      </c>
    </row>
    <row r="1668" customFormat="1" s="11">
      <c r="A1668" s="6" t="inlineStr">
        <is>
          <t>Tăng vốn trong kỳ trước</t>
        </is>
      </c>
      <c r="B1668" s="6" t="inlineStr">
        <is>
          <t>Capital increased in prior period</t>
        </is>
      </c>
      <c r="C1668" s="6" t="inlineStr">
        <is>
          <t>上期追加资本</t>
        </is>
      </c>
      <c r="D1668" s="6" t="inlineStr">
        <is>
          <t>上期追加資本</t>
        </is>
      </c>
    </row>
    <row r="1669" ht="27.6" customFormat="1" customHeight="1" s="11">
      <c r="A1669" s="6" t="inlineStr">
        <is>
          <t>Thành lập tại British Virgin Islands</t>
        </is>
      </c>
      <c r="B1669" s="6" t="inlineStr">
        <is>
          <t>Incorporated in British Virgin Islands</t>
        </is>
      </c>
      <c r="C1669" s="6" t="inlineStr">
        <is>
          <t>在英属维尔京群岛（ British Virgin Islands）成立</t>
        </is>
      </c>
      <c r="D1669" s="6" t="inlineStr">
        <is>
          <t>在英屬維京群島（ British Virgin Islands）成立</t>
        </is>
      </c>
    </row>
    <row r="1670" customFormat="1" s="11">
      <c r="A1670" s="6" t="inlineStr">
        <is>
          <t>Thành lập tại Seychelles</t>
        </is>
      </c>
      <c r="B1670" s="6" t="inlineStr">
        <is>
          <t>Incorporated in Seychelles</t>
        </is>
      </c>
      <c r="C1670" s="6" t="inlineStr">
        <is>
          <t>在塞舌尔（Seychelles）成立</t>
        </is>
      </c>
      <c r="D1670" s="6" t="inlineStr">
        <is>
          <t>在塞席爾（Seychelles）成立</t>
        </is>
      </c>
    </row>
    <row r="1671" customFormat="1" s="11">
      <c r="A1671" s="6" t="inlineStr">
        <is>
          <t>Thời hạn thanh toán</t>
        </is>
      </c>
      <c r="B1671" s="6" t="inlineStr">
        <is>
          <t>Payment term</t>
        </is>
      </c>
      <c r="C1671" s="6" t="inlineStr">
        <is>
          <t>付款期限</t>
        </is>
      </c>
      <c r="D1671" s="6" t="inlineStr">
        <is>
          <t>付款期限</t>
        </is>
      </c>
    </row>
    <row r="1672" customFormat="1" s="11">
      <c r="A1672" s="6" t="inlineStr">
        <is>
          <t>Vốn góp trong năm</t>
        </is>
      </c>
      <c r="B1672" s="6" t="inlineStr">
        <is>
          <t>Capital contributed in the year</t>
        </is>
      </c>
      <c r="C1672" s="6" t="inlineStr">
        <is>
          <t>年度内出资资本</t>
        </is>
      </c>
      <c r="D1672" s="6" t="inlineStr">
        <is>
          <t>年度內出資資本</t>
        </is>
      </c>
    </row>
    <row r="1673" customFormat="1" s="11">
      <c r="A1673" s="6" t="inlineStr">
        <is>
          <t>(trình bày lại)</t>
        </is>
      </c>
      <c r="B1673" s="6" t="inlineStr">
        <is>
          <t>(Restated)</t>
        </is>
      </c>
      <c r="C1673" s="6" t="inlineStr">
        <is>
          <t>（重新陈述）</t>
        </is>
      </c>
      <c r="D1673" s="6" t="inlineStr">
        <is>
          <t>（重新陳述）</t>
        </is>
      </c>
    </row>
    <row r="1674" ht="41.4" customFormat="1" customHeight="1" s="11">
      <c r="A1674" s="6" t="inlineStr">
        <is>
          <t>Bảo hiểm xã hội, bảo hiểm y tế, bảo hiểm thất nghiệp</t>
        </is>
      </c>
      <c r="B1674" s="6" t="inlineStr">
        <is>
          <t>Social insurance, health insurance and unemployment insurance premiums</t>
        </is>
      </c>
      <c r="C1674" s="6" t="inlineStr">
        <is>
          <t>社会保险、医疗保险、失业保险</t>
        </is>
      </c>
      <c r="D1674" s="6" t="inlineStr">
        <is>
          <t>社會保險、醫療保險、失業保險</t>
        </is>
      </c>
    </row>
    <row r="1675" customFormat="1" s="11">
      <c r="A1675" s="6" t="inlineStr">
        <is>
          <t>Bên chuyển nhượng</t>
        </is>
      </c>
      <c r="B1675" s="6" t="inlineStr">
        <is>
          <t>Transferor</t>
        </is>
      </c>
      <c r="C1675" s="6" t="inlineStr">
        <is>
          <t>转让方</t>
        </is>
      </c>
      <c r="D1675" s="6" t="inlineStr">
        <is>
          <t>轉讓方</t>
        </is>
      </c>
    </row>
    <row r="1676" customFormat="1" s="11">
      <c r="A1676" s="6" t="inlineStr">
        <is>
          <t>Bên nhận chuyển nhượng</t>
        </is>
      </c>
      <c r="B1676" s="6" t="inlineStr">
        <is>
          <t>Transferee</t>
        </is>
      </c>
      <c r="C1676" s="6" t="inlineStr">
        <is>
          <t>受让方</t>
        </is>
      </c>
      <c r="D1676" s="6" t="inlineStr">
        <is>
          <t>受讓方</t>
        </is>
      </c>
    </row>
    <row r="1677" customFormat="1" s="11">
      <c r="A1677" s="6" t="inlineStr">
        <is>
          <t>Chi phí công cụ dụng cụ</t>
        </is>
      </c>
      <c r="B1677" s="6" t="inlineStr">
        <is>
          <t>Tools and supplies</t>
        </is>
      </c>
      <c r="C1677" s="6" t="inlineStr">
        <is>
          <t>工具、用具费用</t>
        </is>
      </c>
      <c r="D1677" s="6" t="inlineStr">
        <is>
          <t>工具、用具費用</t>
        </is>
      </c>
    </row>
    <row r="1678" customFormat="1" s="11">
      <c r="A1678" s="6" t="inlineStr">
        <is>
          <t>Chi phí dịch vụ</t>
        </is>
      </c>
      <c r="B1678" s="6" t="inlineStr">
        <is>
          <t>Service fees</t>
        </is>
      </c>
      <c r="C1678" s="6" t="inlineStr">
        <is>
          <t>服务费用</t>
        </is>
      </c>
      <c r="D1678" s="6" t="inlineStr">
        <is>
          <t>服務費用</t>
        </is>
      </c>
    </row>
    <row r="1679" customFormat="1" s="11">
      <c r="A1679" s="6" t="inlineStr">
        <is>
          <t>Chi phí dịch vụ tư vấn</t>
        </is>
      </c>
      <c r="B1679" s="6" t="inlineStr">
        <is>
          <t>Consulting service fees</t>
        </is>
      </c>
      <c r="C1679" s="6" t="inlineStr">
        <is>
          <t>咨询服务费用</t>
        </is>
      </c>
      <c r="D1679" s="6" t="inlineStr">
        <is>
          <t>諮詢服務費用</t>
        </is>
      </c>
    </row>
    <row r="1680" customFormat="1" s="11">
      <c r="A1680" s="6" t="inlineStr">
        <is>
          <t>Chi phí dịch vụ xuất khẩu</t>
        </is>
      </c>
      <c r="B1680" s="6" t="inlineStr">
        <is>
          <t>Export service fees</t>
        </is>
      </c>
      <c r="C1680" s="6" t="inlineStr">
        <is>
          <t>出口服务费用</t>
        </is>
      </c>
      <c r="D1680" s="6" t="inlineStr">
        <is>
          <t>出口服務費用</t>
        </is>
      </c>
    </row>
    <row r="1681" ht="27.6" customFormat="1" customHeight="1" s="11">
      <c r="A1681" s="6" t="inlineStr">
        <is>
          <t>Chi phí khấu hao tài sản cố định, phân bổ</t>
        </is>
      </c>
      <c r="B1681" s="6" t="inlineStr">
        <is>
          <t>Depreciation, amortisation and allocation</t>
        </is>
      </c>
      <c r="C1681" s="6" t="inlineStr">
        <is>
          <t>固定资产折旧、摊销费用</t>
        </is>
      </c>
      <c r="D1681" s="6" t="inlineStr">
        <is>
          <t>固定資產折舊、攤銷費用</t>
        </is>
      </c>
    </row>
    <row r="1682" ht="27.6" customFormat="1" customHeight="1" s="11">
      <c r="A1682" s="6" t="inlineStr">
        <is>
          <t>Chi phí lãi vay còn được chuyển</t>
        </is>
      </c>
      <c r="B1682" s="6" t="inlineStr">
        <is>
          <t>Interest expenses brought forward</t>
        </is>
      </c>
      <c r="C1682" s="6" t="inlineStr">
        <is>
          <t>可结转的借款利息</t>
        </is>
      </c>
      <c r="D1682" s="6" t="inlineStr">
        <is>
          <t>可結轉的借款利息</t>
        </is>
      </c>
    </row>
    <row r="1683" customFormat="1" s="11">
      <c r="A1683" s="6" t="inlineStr">
        <is>
          <t>Chi phí quản lý khác</t>
        </is>
      </c>
      <c r="B1683" s="6" t="inlineStr">
        <is>
          <t>Other management expenses</t>
        </is>
      </c>
      <c r="C1683" s="6" t="inlineStr">
        <is>
          <t>其他管理费用</t>
        </is>
      </c>
      <c r="D1683" s="6" t="inlineStr">
        <is>
          <t>其他管理費用</t>
        </is>
      </c>
    </row>
    <row r="1684" customFormat="1" s="11">
      <c r="A1684" s="6" t="inlineStr">
        <is>
          <t>Chi phí thuê kho</t>
        </is>
      </c>
      <c r="B1684" s="6" t="inlineStr">
        <is>
          <t>Warehouse lease</t>
        </is>
      </c>
      <c r="C1684" s="6" t="inlineStr">
        <is>
          <t>仓库租赁费用</t>
        </is>
      </c>
      <c r="D1684" s="6" t="inlineStr">
        <is>
          <t>倉庫租賃費用</t>
        </is>
      </c>
    </row>
    <row r="1685" customFormat="1" s="11">
      <c r="A1685" s="6" t="inlineStr">
        <is>
          <t>Chi phí trả trước tiền thuê đất</t>
        </is>
      </c>
      <c r="B1685" s="6" t="inlineStr">
        <is>
          <t>Prepaid land rents</t>
        </is>
      </c>
      <c r="C1685" s="6" t="inlineStr">
        <is>
          <t>土地租金预付费用</t>
        </is>
      </c>
      <c r="D1685" s="6" t="inlineStr">
        <is>
          <t>土地租金預付費用</t>
        </is>
      </c>
    </row>
    <row r="1686" customFormat="1" s="11">
      <c r="A1686" s="6" t="inlineStr">
        <is>
          <t>Chi phí vận chuyển hàng xuất</t>
        </is>
      </c>
      <c r="B1686" s="6" t="inlineStr">
        <is>
          <t>Export freight cost</t>
        </is>
      </c>
      <c r="C1686" s="6" t="inlineStr">
        <is>
          <t>销货运费</t>
        </is>
      </c>
      <c r="D1686" s="6" t="inlineStr">
        <is>
          <t>銷貨運費</t>
        </is>
      </c>
    </row>
    <row r="1687" customFormat="1" s="11">
      <c r="A1687" s="6" t="inlineStr">
        <is>
          <t>Chi phí xây dựng nhà xưởng</t>
        </is>
      </c>
      <c r="B1687" s="6" t="inlineStr">
        <is>
          <t>Construction of factory</t>
        </is>
      </c>
      <c r="C1687" s="6" t="inlineStr">
        <is>
          <t>厂房建设费用</t>
        </is>
      </c>
      <c r="D1687" s="6" t="inlineStr">
        <is>
          <t>廠房建設費用</t>
        </is>
      </c>
    </row>
    <row r="1688" ht="27.6" customFormat="1" customHeight="1" s="11">
      <c r="A1688" s="6" t="inlineStr">
        <is>
          <t>Chủ đầu tư kiêm Tổng Giám đốc</t>
        </is>
      </c>
      <c r="B1688" s="6" t="inlineStr">
        <is>
          <t>Investor cum General Director</t>
        </is>
      </c>
      <c r="C1688" s="6" t="inlineStr">
        <is>
          <t>投资者兼总经理</t>
        </is>
      </c>
      <c r="D1688" s="6" t="inlineStr">
        <is>
          <t>投資者兼總經理</t>
        </is>
      </c>
    </row>
    <row r="1689" customFormat="1" s="11">
      <c r="A1689" s="6" t="inlineStr">
        <is>
          <t>Chủ sở hữu, Giám đốc</t>
        </is>
      </c>
      <c r="B1689" s="6" t="inlineStr">
        <is>
          <t>Owner, Director</t>
        </is>
      </c>
      <c r="C1689" s="6" t="inlineStr">
        <is>
          <t>所有者（股东）、经理</t>
        </is>
      </c>
      <c r="D1689" s="6" t="inlineStr">
        <is>
          <t>所有者（股東）、經理</t>
        </is>
      </c>
    </row>
    <row r="1690" customFormat="1" s="11">
      <c r="A1690" s="6" t="inlineStr">
        <is>
          <t>Chung tập đoàn</t>
        </is>
      </c>
      <c r="B1690" s="6" t="inlineStr">
        <is>
          <t>Same Group</t>
        </is>
      </c>
      <c r="C1690" s="6" t="inlineStr">
        <is>
          <t>同一集团</t>
        </is>
      </c>
      <c r="D1690" s="6" t="inlineStr">
        <is>
          <t>同一集團</t>
        </is>
      </c>
    </row>
    <row r="1691" customFormat="1" s="11">
      <c r="A1691" s="6" t="inlineStr">
        <is>
          <t>Đặt cọc khác</t>
        </is>
      </c>
      <c r="B1691" s="6" t="inlineStr">
        <is>
          <t>Other deposits</t>
        </is>
      </c>
      <c r="C1691" s="6" t="inlineStr">
        <is>
          <t>其他抵押款</t>
        </is>
      </c>
      <c r="D1691" s="6" t="inlineStr">
        <is>
          <t>其他抵押款</t>
        </is>
      </c>
    </row>
    <row r="1692" ht="41.4" customFormat="1" customHeight="1" s="11">
      <c r="A1692" s="6" t="inlineStr">
        <is>
          <t>Điều chỉnh chi phí thuế thu nhập doanh nghiệp năm trước</t>
        </is>
      </c>
      <c r="B1692" s="6" t="inlineStr">
        <is>
          <t>Corporate income tax expense of prior year adjusted to current year</t>
        </is>
      </c>
      <c r="C1692" s="6" t="inlineStr">
        <is>
          <t>上年度的企业所得税费用调整</t>
        </is>
      </c>
      <c r="D1692" s="6" t="inlineStr">
        <is>
          <t>上年度的企業所得稅費用調整</t>
        </is>
      </c>
    </row>
    <row r="1693" ht="27.6" customFormat="1" customHeight="1" s="11">
      <c r="A1693" s="6" t="inlineStr">
        <is>
          <t>Doanh thu bán thành phẩm và hàng hóa</t>
        </is>
      </c>
      <c r="B1693" s="6" t="inlineStr">
        <is>
          <t>Finished goods and merchandise sold</t>
        </is>
      </c>
      <c r="C1693" s="6" t="inlineStr">
        <is>
          <t>成品和商品销售收入</t>
        </is>
      </c>
      <c r="D1693" s="6" t="inlineStr">
        <is>
          <t>成品和商品銷售收入</t>
        </is>
      </c>
    </row>
    <row r="1694" ht="27.6" customFormat="1" customHeight="1" s="11">
      <c r="A1694" s="6" t="inlineStr">
        <is>
          <t>Giá vốn của nguyên vật liệu đã bán</t>
        </is>
      </c>
      <c r="B1694" s="6" t="inlineStr">
        <is>
          <t>Cost of materials sold</t>
        </is>
      </c>
      <c r="C1694" s="6" t="inlineStr">
        <is>
          <t>已售原材料成本</t>
        </is>
      </c>
      <c r="D1694" s="6" t="inlineStr">
        <is>
          <t>已售原材料成本</t>
        </is>
      </c>
    </row>
    <row r="1695" customFormat="1" s="11">
      <c r="A1695" s="6" t="inlineStr">
        <is>
          <t>Hạn mức tín dụng (VND)</t>
        </is>
      </c>
      <c r="B1695" s="6" t="inlineStr">
        <is>
          <t>Credit limit (VND)</t>
        </is>
      </c>
      <c r="C1695" s="6" t="inlineStr">
        <is>
          <t>信贷限额（越南盾）</t>
        </is>
      </c>
      <c r="D1695" s="6" t="inlineStr">
        <is>
          <t>信貸限額（越南盾）</t>
        </is>
      </c>
    </row>
    <row r="1696" ht="27.6" customFormat="1" customHeight="1" s="11">
      <c r="A1696" s="6" t="inlineStr">
        <is>
          <t>Kết chuyển tăng tài sản cố định trong năm</t>
        </is>
      </c>
      <c r="B1696" s="6" t="inlineStr">
        <is>
          <t>Transferred to increase fixed assets in the year</t>
        </is>
      </c>
      <c r="C1696" s="6" t="inlineStr">
        <is>
          <t>转列年内固定资产</t>
        </is>
      </c>
      <c r="D1696" s="6" t="inlineStr">
        <is>
          <t>轉列年內固定資產</t>
        </is>
      </c>
    </row>
    <row r="1697" customFormat="1" s="11">
      <c r="A1697" s="6" t="inlineStr">
        <is>
          <t>Ký quỹ thuê văn phòng</t>
        </is>
      </c>
      <c r="B1697" s="6" t="inlineStr">
        <is>
          <t>Deposit for office lease</t>
        </is>
      </c>
      <c r="C1697" s="6" t="inlineStr">
        <is>
          <t>办公室租赁保证金</t>
        </is>
      </c>
      <c r="D1697" s="6" t="inlineStr">
        <is>
          <t>辦公室租賃保證金</t>
        </is>
      </c>
    </row>
    <row r="1698" customFormat="1" s="11">
      <c r="A1698" s="6" t="inlineStr">
        <is>
          <t>Lợi nhuận thuần trong kỳ trước</t>
        </is>
      </c>
      <c r="B1698" s="6" t="inlineStr">
        <is>
          <t>Net profit of prior year</t>
        </is>
      </c>
      <c r="C1698" s="6" t="inlineStr">
        <is>
          <t>上期净利润</t>
        </is>
      </c>
      <c r="D1698" s="6" t="inlineStr">
        <is>
          <t>上期淨利潤</t>
        </is>
      </c>
    </row>
    <row r="1699" ht="27.6" customFormat="1" customHeight="1" s="11">
      <c r="A1699" s="6" t="inlineStr">
        <is>
          <t>Mệnh giá cổ phần đang lưu hành: (VND)</t>
        </is>
      </c>
      <c r="B1699" s="6" t="inlineStr">
        <is>
          <t>Face value of shares in circulation: (VND)</t>
        </is>
      </c>
      <c r="C1699" s="6" t="inlineStr">
        <is>
          <t>流通股面值：（越南盾）</t>
        </is>
      </c>
      <c r="D1699" s="6" t="inlineStr">
        <is>
          <t>流通股面值：（越南盾）</t>
        </is>
      </c>
    </row>
    <row r="1700" customFormat="1" s="11">
      <c r="A1700" s="6" t="inlineStr">
        <is>
          <t>Số đầu kỳ trước</t>
        </is>
      </c>
      <c r="B1700" s="6" t="inlineStr">
        <is>
          <t>Opening balance of prior year</t>
        </is>
      </c>
      <c r="C1700" s="6" t="inlineStr">
        <is>
          <t>上期期初余额</t>
        </is>
      </c>
      <c r="D1700" s="6" t="inlineStr">
        <is>
          <t>上期期初餘額</t>
        </is>
      </c>
    </row>
    <row r="1701" customFormat="1" s="11">
      <c r="A1701" s="6" t="inlineStr">
        <is>
          <t>Số tiền cho vay</t>
        </is>
      </c>
      <c r="B1701" s="6" t="inlineStr">
        <is>
          <t>Lending amount</t>
        </is>
      </c>
      <c r="C1701" s="6" t="inlineStr">
        <is>
          <t>放贷（出借款）金额</t>
        </is>
      </c>
      <c r="D1701" s="6" t="inlineStr">
        <is>
          <t>放貸（出借款）金額</t>
        </is>
      </c>
    </row>
    <row r="1702" customFormat="1" s="11">
      <c r="A1702" s="6" t="inlineStr">
        <is>
          <t>Tạm ứng nhân viên</t>
        </is>
      </c>
      <c r="B1702" s="6" t="inlineStr">
        <is>
          <t>Advances to employees</t>
        </is>
      </c>
      <c r="C1702" s="6" t="inlineStr">
        <is>
          <t>职工暂借款</t>
        </is>
      </c>
      <c r="D1702" s="6" t="inlineStr">
        <is>
          <t>職工暫借款</t>
        </is>
      </c>
    </row>
    <row r="1703" customFormat="1" s="11">
      <c r="A1703" s="6" t="inlineStr">
        <is>
          <t>Theo từng lần giải ngân</t>
        </is>
      </c>
      <c r="B1703" s="6" t="inlineStr">
        <is>
          <t>As per disbursement</t>
        </is>
      </c>
      <c r="C1703" s="6" t="inlineStr">
        <is>
          <t>按放款时点利率</t>
        </is>
      </c>
      <c r="D1703" s="6" t="inlineStr">
        <is>
          <t>按放款時點利率</t>
        </is>
      </c>
    </row>
    <row r="1704" ht="27.6" customFormat="1" customHeight="1" s="11">
      <c r="A1704" s="6" t="inlineStr">
        <is>
          <t>Trích trước chi phí dịch vụ mua ngoài</t>
        </is>
      </c>
      <c r="B1704" s="6" t="inlineStr">
        <is>
          <t>Accrual for outsourcing service expenses</t>
        </is>
      </c>
      <c r="C1704" s="6" t="inlineStr">
        <is>
          <t>预提外包服务费</t>
        </is>
      </c>
      <c r="D1704" s="6" t="inlineStr">
        <is>
          <t>預提外包服務費</t>
        </is>
      </c>
    </row>
    <row r="1705" ht="55.2" customFormat="1" customHeight="1" s="11">
      <c r="A1705" s="6" t="inlineStr">
        <is>
          <t>Trừ: khoản nợ được trả trong vòng 12 tháng(được trình bày ở mục vay và nợ ngắn hạn)</t>
        </is>
      </c>
      <c r="B1705" s="6" t="inlineStr">
        <is>
          <t>Less: Amount due for settlement within 12 months (shown under short-term borrowings and liabilities)</t>
        </is>
      </c>
      <c r="C1705" s="6" t="inlineStr">
        <is>
          <t>减：12个月内到期债务（列示于短期借款和负债项目之中）</t>
        </is>
      </c>
      <c r="D1705" s="6" t="inlineStr">
        <is>
          <t>減：12個月內到期債務（列示於短期借款和負債項目之中）</t>
        </is>
      </c>
    </row>
    <row r="1706" customFormat="1" s="11">
      <c r="A1706" s="6" t="inlineStr">
        <is>
          <t>Trung Quốc (Đài Loan)</t>
        </is>
      </c>
      <c r="B1706" s="6" t="inlineStr">
        <is>
          <t>China (Taiwan)</t>
        </is>
      </c>
      <c r="C1706" s="6" t="inlineStr">
        <is>
          <t>中国（台湾）</t>
        </is>
      </c>
      <c r="D1706" s="6" t="inlineStr">
        <is>
          <t>中國（臺灣）</t>
        </is>
      </c>
    </row>
    <row r="1707" customFormat="1" s="11">
      <c r="A1707" s="6" t="inlineStr">
        <is>
          <t>Tương đương (VND)</t>
        </is>
      </c>
      <c r="B1707" s="6" t="inlineStr">
        <is>
          <t>Equivalent to (VND)</t>
        </is>
      </c>
      <c r="C1707" s="6" t="inlineStr">
        <is>
          <t>等值（越南盾）</t>
        </is>
      </c>
      <c r="D1707" s="6" t="inlineStr">
        <is>
          <t>等值（越南盾）</t>
        </is>
      </c>
    </row>
    <row r="1708" customFormat="1" s="11">
      <c r="A1708" s="6" t="inlineStr">
        <is>
          <t>Vốn góp</t>
        </is>
      </c>
      <c r="B1708" s="6" t="inlineStr">
        <is>
          <t>Capital contribution</t>
        </is>
      </c>
      <c r="C1708" s="6" t="inlineStr">
        <is>
          <t>出资资本</t>
        </is>
      </c>
      <c r="D1708" s="6" t="inlineStr">
        <is>
          <t>出資資本</t>
        </is>
      </c>
    </row>
    <row r="1709" customFormat="1" s="11">
      <c r="A1709" s="6" t="inlineStr">
        <is>
          <t>Xây dựng nhà xưởng</t>
        </is>
      </c>
      <c r="B1709" s="6" t="inlineStr">
        <is>
          <t>To build factories</t>
        </is>
      </c>
      <c r="C1709" s="6" t="inlineStr">
        <is>
          <t>厂房建设</t>
        </is>
      </c>
      <c r="D1709" s="6" t="inlineStr">
        <is>
          <t>廠房建設</t>
        </is>
      </c>
    </row>
    <row r="1710" customFormat="1" s="11">
      <c r="A1710" s="6" t="inlineStr">
        <is>
          <t>Xử lý công nợ</t>
        </is>
      </c>
      <c r="B1710" s="6" t="inlineStr">
        <is>
          <t>Debt settlements</t>
        </is>
      </c>
      <c r="C1710" s="6" t="inlineStr">
        <is>
          <t>销账处理</t>
        </is>
      </c>
      <c r="D1710" s="6" t="inlineStr">
        <is>
          <t>銷帳處理</t>
        </is>
      </c>
    </row>
    <row r="1711" ht="27.6" customFormat="1" customHeight="1" s="11">
      <c r="A1711" s="6" t="inlineStr">
        <is>
          <t>- Hoạt động sản xuất kinh doanh</t>
        </is>
      </c>
      <c r="B1711" s="6" t="inlineStr">
        <is>
          <t>- Production and business activities</t>
        </is>
      </c>
      <c r="C1711" s="6" t="inlineStr">
        <is>
          <t>- 生产、经营活动</t>
        </is>
      </c>
      <c r="D1711" s="6" t="inlineStr">
        <is>
          <t>- 生產、經營活動</t>
        </is>
      </c>
    </row>
    <row r="1712" ht="27.6" customFormat="1" customHeight="1" s="11">
      <c r="A1712" s="6" t="inlineStr">
        <is>
          <t>(Lãi), lỗ từ hoạt động đầu tư</t>
        </is>
      </c>
      <c r="B1712" s="6" t="inlineStr">
        <is>
          <t>(Profit), loss from investing activities</t>
        </is>
      </c>
      <c r="C1712" s="6" t="inlineStr">
        <is>
          <t>投资活动（收益）、损失</t>
        </is>
      </c>
      <c r="D1712" s="6" t="inlineStr">
        <is>
          <t>投資活動（收益）、損失</t>
        </is>
      </c>
    </row>
    <row r="1713" ht="41.4" customFormat="1" customHeight="1" s="11">
      <c r="A1713" s="6" t="inlineStr">
        <is>
          <t>Bổ sung vốn lưu động, phục vụ cho hoạt động kinh doanh của Công ty</t>
        </is>
      </c>
      <c r="B1713" s="6" t="inlineStr">
        <is>
          <t>To supplement the working capital serving the business operations of the Company</t>
        </is>
      </c>
      <c r="C1713" s="6" t="inlineStr">
        <is>
          <t>补充流动资金并投入公生产、营业活动</t>
        </is>
      </c>
      <c r="D1713" s="6" t="inlineStr">
        <is>
          <t>補充流動資金並投入公生產、營業活動</t>
        </is>
      </c>
    </row>
    <row r="1714" customFormat="1" s="11">
      <c r="A1714" s="6" t="inlineStr">
        <is>
          <t>Các khoản đặt cọc ngắn hạn</t>
        </is>
      </c>
      <c r="B1714" s="6" t="inlineStr">
        <is>
          <t>Short-term deposits</t>
        </is>
      </c>
      <c r="C1714" s="6" t="inlineStr">
        <is>
          <t>各项短期保证金</t>
        </is>
      </c>
      <c r="D1714" s="6" t="inlineStr">
        <is>
          <t>各項短期保證金</t>
        </is>
      </c>
    </row>
    <row r="1715" customFormat="1" s="11">
      <c r="A1715" s="6" t="inlineStr">
        <is>
          <t>Các khoản ký quỹ</t>
        </is>
      </c>
      <c r="B1715" s="6" t="inlineStr">
        <is>
          <t>Deposits</t>
        </is>
      </c>
      <c r="C1715" s="6" t="inlineStr">
        <is>
          <t>各项保证金</t>
        </is>
      </c>
      <c r="D1715" s="6" t="inlineStr">
        <is>
          <t>各項保證金</t>
        </is>
      </c>
    </row>
    <row r="1716" customFormat="1" s="11">
      <c r="A1716" s="6" t="inlineStr">
        <is>
          <t>Các khoản phạt, truy thu thuế</t>
        </is>
      </c>
      <c r="B1716" s="6" t="inlineStr">
        <is>
          <t>Tax penalties and arrears</t>
        </is>
      </c>
      <c r="C1716" s="6" t="inlineStr">
        <is>
          <t>税收罚款、追征税款</t>
        </is>
      </c>
      <c r="D1716" s="6" t="inlineStr">
        <is>
          <t>稅收罰款、追徵稅款</t>
        </is>
      </c>
    </row>
    <row r="1717" ht="27.6" customFormat="1" customHeight="1" s="11">
      <c r="A1717" s="6" t="inlineStr">
        <is>
          <t>Chênh lệch tỷ giá hối đoái do đánh giá lại cuối năm</t>
        </is>
      </c>
      <c r="B1717" s="6" t="inlineStr">
        <is>
          <t>Exchange differences due to year-end revaluation</t>
        </is>
      </c>
      <c r="C1717" s="6" t="inlineStr">
        <is>
          <t>年底重估的汇兑差额</t>
        </is>
      </c>
      <c r="D1717" s="6" t="inlineStr">
        <is>
          <t>年底重估的匯兌差額</t>
        </is>
      </c>
    </row>
    <row r="1718" ht="41.4" customFormat="1" customHeight="1" s="11">
      <c r="A1718" s="6" t="inlineStr">
        <is>
          <t>Chi hộ/(Giảm khoản chi hộ)</t>
        </is>
      </c>
      <c r="B1718" s="6" t="inlineStr">
        <is>
          <t>On-behalf payments/ (Decrease in on-behalf payments)</t>
        </is>
      </c>
      <c r="C1718" s="6" t="inlineStr">
        <is>
          <t>代付款/(减列代付款)</t>
        </is>
      </c>
      <c r="D1718" s="6" t="inlineStr">
        <is>
          <t>代付款/(減列代付款)</t>
        </is>
      </c>
    </row>
    <row r="1719" ht="27.6" customFormat="1" customHeight="1" s="11">
      <c r="A1719" s="6" t="inlineStr">
        <is>
          <t>Chi phí bao bì, dụng cụ</t>
        </is>
      </c>
      <c r="B1719" s="6" t="inlineStr">
        <is>
          <t>Packaging and equipment expenses</t>
        </is>
      </c>
      <c r="C1719" s="6" t="inlineStr">
        <is>
          <t>包装、用具费用</t>
        </is>
      </c>
      <c r="D1719" s="6" t="inlineStr">
        <is>
          <t>包裝、用具費用</t>
        </is>
      </c>
    </row>
    <row r="1720" ht="27.6" customFormat="1" customHeight="1" s="11">
      <c r="A1720" s="6" t="inlineStr">
        <is>
          <t>Chi phí đồ dùng quản lý văn phòng</t>
        </is>
      </c>
      <c r="B1720" s="6" t="inlineStr">
        <is>
          <t>Office and management supplies</t>
        </is>
      </c>
      <c r="C1720" s="6" t="inlineStr">
        <is>
          <t>办公管理工具用品费用</t>
        </is>
      </c>
      <c r="D1720" s="6" t="inlineStr">
        <is>
          <t>辦公管理工具用品費用</t>
        </is>
      </c>
    </row>
    <row r="1721" customFormat="1" s="11">
      <c r="A1721" s="6" t="inlineStr">
        <is>
          <t>Chi phí đồ dùng, dụng cụ</t>
        </is>
      </c>
      <c r="B1721" s="6" t="inlineStr">
        <is>
          <t>Tools and supplies</t>
        </is>
      </c>
      <c r="C1721" s="6" t="inlineStr">
        <is>
          <t>工具用品费用</t>
        </is>
      </c>
      <c r="D1721" s="6" t="inlineStr">
        <is>
          <t>工具用品費用</t>
        </is>
      </c>
    </row>
    <row r="1722" customFormat="1" s="11">
      <c r="A1722" s="6" t="inlineStr">
        <is>
          <t>Chi phí khấu hao TSCĐ</t>
        </is>
      </c>
      <c r="B1722" s="6" t="inlineStr">
        <is>
          <t>Depreciation and amortisation</t>
        </is>
      </c>
      <c r="C1722" s="6" t="inlineStr">
        <is>
          <t>固定资产折旧费用</t>
        </is>
      </c>
      <c r="D1722" s="6" t="inlineStr">
        <is>
          <t>固定資產折舊費用</t>
        </is>
      </c>
    </row>
    <row r="1723" customFormat="1" s="11">
      <c r="A1723" s="6" t="inlineStr">
        <is>
          <t>Chi phí không hợp lệ</t>
        </is>
      </c>
      <c r="B1723" s="6" t="inlineStr">
        <is>
          <t>Non-deductible expenses</t>
        </is>
      </c>
      <c r="C1723" s="6" t="inlineStr">
        <is>
          <t>不合规费用</t>
        </is>
      </c>
      <c r="D1723" s="6" t="inlineStr">
        <is>
          <t>不合規費用</t>
        </is>
      </c>
    </row>
    <row r="1724" customFormat="1" s="11">
      <c r="A1724" s="6" t="inlineStr">
        <is>
          <t>Chi phí mua ngoài</t>
        </is>
      </c>
      <c r="B1724" s="6" t="inlineStr">
        <is>
          <t>Outsourcing expenses</t>
        </is>
      </c>
      <c r="C1724" s="6" t="inlineStr">
        <is>
          <t>外购费用</t>
        </is>
      </c>
      <c r="D1724" s="6" t="inlineStr">
        <is>
          <t>外購費用</t>
        </is>
      </c>
    </row>
    <row r="1725" customFormat="1" s="11">
      <c r="A1725" s="6" t="inlineStr">
        <is>
          <t>Chi phí quản lý kinh doanh</t>
        </is>
      </c>
      <c r="B1725" s="6" t="inlineStr">
        <is>
          <t>Business management expenses</t>
        </is>
      </c>
      <c r="C1725" s="6" t="inlineStr">
        <is>
          <t>经营管理费用</t>
        </is>
      </c>
      <c r="D1725" s="6" t="inlineStr">
        <is>
          <t>經營管理費用</t>
        </is>
      </c>
    </row>
    <row r="1726" customFormat="1" s="11">
      <c r="A1726" s="6" t="inlineStr">
        <is>
          <t>Chi phí tài chính khác</t>
        </is>
      </c>
      <c r="B1726" s="6" t="inlineStr">
        <is>
          <t>Others</t>
        </is>
      </c>
      <c r="C1726" s="6" t="inlineStr">
        <is>
          <t>其他财务费用</t>
        </is>
      </c>
      <c r="D1726" s="6" t="inlineStr">
        <is>
          <t>其他財務費用</t>
        </is>
      </c>
    </row>
    <row r="1727" customFormat="1" s="11">
      <c r="A1727" s="6" t="inlineStr">
        <is>
          <t>Chi phí thi công</t>
        </is>
      </c>
      <c r="B1727" s="6" t="inlineStr">
        <is>
          <t>Construction works</t>
        </is>
      </c>
      <c r="C1727" s="6" t="inlineStr">
        <is>
          <t>施工费用</t>
        </is>
      </c>
      <c r="D1727" s="6" t="inlineStr">
        <is>
          <t>施工費用</t>
        </is>
      </c>
    </row>
    <row r="1728" customFormat="1" s="11">
      <c r="A1728" s="6" t="inlineStr">
        <is>
          <t>Cùng tập đoàn</t>
        </is>
      </c>
      <c r="B1728" s="6" t="inlineStr">
        <is>
          <t>Same Group</t>
        </is>
      </c>
      <c r="C1728" s="6" t="inlineStr">
        <is>
          <t>同一集团</t>
        </is>
      </c>
      <c r="D1728" s="6" t="inlineStr">
        <is>
          <t>同一集團</t>
        </is>
      </c>
    </row>
    <row r="1729" ht="27.6" customFormat="1" customHeight="1" s="11">
      <c r="A1729" s="6" t="inlineStr">
        <is>
          <t>Đã kết chuyển tăng tài sản cố định trong năm</t>
        </is>
      </c>
      <c r="B1729" s="6" t="inlineStr">
        <is>
          <t>Transferred to increase fixed assets in current year</t>
        </is>
      </c>
      <c r="C1729" s="6" t="inlineStr">
        <is>
          <t>已转列年内固定资产</t>
        </is>
      </c>
      <c r="D1729" s="6" t="inlineStr">
        <is>
          <t>已轉列年內固定資產</t>
        </is>
      </c>
    </row>
    <row r="1730" customFormat="1" s="11">
      <c r="A1730" s="6" t="inlineStr">
        <is>
          <t>Đáo hạn</t>
        </is>
      </c>
      <c r="B1730" s="6" t="inlineStr">
        <is>
          <t>Maturity date</t>
        </is>
      </c>
      <c r="C1730" s="6" t="inlineStr">
        <is>
          <t>到期</t>
        </is>
      </c>
      <c r="D1730" s="6" t="inlineStr">
        <is>
          <t>到期</t>
        </is>
      </c>
    </row>
    <row r="1731" customFormat="1" s="11">
      <c r="A1731" s="6" t="inlineStr">
        <is>
          <t>Đặt cọc ngắn hạn khác</t>
        </is>
      </c>
      <c r="B1731" s="6" t="inlineStr">
        <is>
          <t>Other short-term deposits</t>
        </is>
      </c>
      <c r="C1731" s="6" t="inlineStr">
        <is>
          <t>其他短期保证金</t>
        </is>
      </c>
      <c r="D1731" s="6" t="inlineStr">
        <is>
          <t>其他短期保證金</t>
        </is>
      </c>
    </row>
    <row r="1732" ht="27.6" customFormat="1" customHeight="1" s="11">
      <c r="A1732" s="6" t="inlineStr">
        <is>
          <t>Đặt cọc thuê xưởng dài hạn</t>
        </is>
      </c>
      <c r="B1732" s="6" t="inlineStr">
        <is>
          <t>Deposit for long-term factory lease</t>
        </is>
      </c>
      <c r="C1732" s="6" t="inlineStr">
        <is>
          <t>厂房长期租赁押金</t>
        </is>
      </c>
      <c r="D1732" s="6" t="inlineStr">
        <is>
          <t>廠房長期租賃押金</t>
        </is>
      </c>
    </row>
    <row r="1733" customFormat="1" s="11">
      <c r="A1733" s="6" t="inlineStr">
        <is>
          <t>Doanh thu cho thuê xưởng</t>
        </is>
      </c>
      <c r="B1733" s="6" t="inlineStr">
        <is>
          <t>Revenue from factory lease</t>
        </is>
      </c>
      <c r="C1733" s="6" t="inlineStr">
        <is>
          <t>厂房出租收入</t>
        </is>
      </c>
      <c r="D1733" s="6" t="inlineStr">
        <is>
          <t>廠房出租收入</t>
        </is>
      </c>
    </row>
    <row r="1734" customFormat="1" s="11">
      <c r="A1734" s="6" t="inlineStr">
        <is>
          <t>Dự phòng trích trong năm</t>
        </is>
      </c>
      <c r="B1734" s="6" t="inlineStr">
        <is>
          <t>Additions in the year</t>
        </is>
      </c>
      <c r="C1734" s="6" t="inlineStr">
        <is>
          <t>年度内计提准备金</t>
        </is>
      </c>
      <c r="D1734" s="6" t="inlineStr">
        <is>
          <t>年度內計提準備金</t>
        </is>
      </c>
    </row>
    <row r="1735" customFormat="1" s="11">
      <c r="A1735" s="6" t="inlineStr">
        <is>
          <t>Hình thức bảo đảm</t>
        </is>
      </c>
      <c r="B1735" s="6" t="inlineStr">
        <is>
          <t>Form of guarantee</t>
        </is>
      </c>
      <c r="C1735" s="6" t="inlineStr">
        <is>
          <t>担保方式</t>
        </is>
      </c>
      <c r="D1735" s="6" t="inlineStr">
        <is>
          <t>擔保方式</t>
        </is>
      </c>
    </row>
    <row r="1736" customFormat="1" s="11">
      <c r="A1736" s="6" t="inlineStr">
        <is>
          <t>Hình thức đảm bảo</t>
        </is>
      </c>
      <c r="B1736" s="6" t="inlineStr">
        <is>
          <t>Form of guarantee</t>
        </is>
      </c>
      <c r="C1736" s="6" t="inlineStr">
        <is>
          <t>担保方式</t>
        </is>
      </c>
      <c r="D1736" s="6" t="inlineStr">
        <is>
          <t>擔保方式</t>
        </is>
      </c>
    </row>
    <row r="1737" customFormat="1" s="11">
      <c r="A1737" s="6" t="inlineStr">
        <is>
          <t>Khấu hao trong kỳ</t>
        </is>
      </c>
      <c r="B1737" s="6" t="inlineStr">
        <is>
          <t>Charge for the period</t>
        </is>
      </c>
      <c r="C1737" s="6" t="inlineStr">
        <is>
          <t>期内折旧</t>
        </is>
      </c>
      <c r="D1737" s="6" t="inlineStr">
        <is>
          <t>期內折舊</t>
        </is>
      </c>
    </row>
    <row r="1738" customFormat="1" s="11">
      <c r="A1738" s="6" t="inlineStr">
        <is>
          <t>Không quá 6 tháng</t>
        </is>
      </c>
      <c r="B1738" s="6" t="inlineStr">
        <is>
          <t>Not exceeding 06 months</t>
        </is>
      </c>
      <c r="C1738" s="6" t="inlineStr">
        <is>
          <t>不超过6个月</t>
        </is>
      </c>
      <c r="D1738" s="6" t="inlineStr">
        <is>
          <t>不超過6個月</t>
        </is>
      </c>
    </row>
    <row r="1739" ht="27.6" customFormat="1" customHeight="1" s="11">
      <c r="A1739" s="6" t="inlineStr">
        <is>
          <t>Ký quỹ, ký cược ngắn hạn</t>
        </is>
      </c>
      <c r="B1739" s="6" t="inlineStr">
        <is>
          <t>Short-term deposits and mortgages</t>
        </is>
      </c>
      <c r="C1739" s="6" t="inlineStr">
        <is>
          <t>短期保证金</t>
        </is>
      </c>
      <c r="D1739" s="6" t="inlineStr">
        <is>
          <t>短期保證金</t>
        </is>
      </c>
    </row>
    <row r="1740" ht="27.6" customFormat="1" customHeight="1" s="11">
      <c r="A1740" s="6" t="inlineStr">
        <is>
          <t>Lãi chênh lệch tỷ giá do đánh giá lại cuối kỳ</t>
        </is>
      </c>
      <c r="B1740" s="6" t="inlineStr">
        <is>
          <t>Foreign exchange gain from year-end revaluation</t>
        </is>
      </c>
      <c r="C1740" s="6" t="inlineStr">
        <is>
          <t>期末重估的汇兑收益</t>
        </is>
      </c>
      <c r="D1740" s="6" t="inlineStr">
        <is>
          <t>期末重估的匯兌收益</t>
        </is>
      </c>
    </row>
    <row r="1741" ht="27.6" customFormat="1" customHeight="1" s="11">
      <c r="A1741" s="6" t="inlineStr">
        <is>
          <t>Lãi tiền gửi ngân hàng tạm tính</t>
        </is>
      </c>
      <c r="B1741" s="6" t="inlineStr">
        <is>
          <t>Provisional interest income from bank deposits</t>
        </is>
      </c>
      <c r="C1741" s="6" t="inlineStr">
        <is>
          <t>暂计银行存款利息</t>
        </is>
      </c>
      <c r="D1741" s="6" t="inlineStr">
        <is>
          <t>暫計銀行存款利息</t>
        </is>
      </c>
    </row>
    <row r="1742" ht="27.6" customFormat="1" customHeight="1" s="11">
      <c r="A1742" s="6" t="inlineStr">
        <is>
          <t>Lãi tiền gửi tiết kiệm dự thu</t>
        </is>
      </c>
      <c r="B1742" s="6" t="inlineStr">
        <is>
          <t>Interest receivable from savings deposits</t>
        </is>
      </c>
      <c r="C1742" s="6" t="inlineStr">
        <is>
          <t>应计储蓄存款利息</t>
        </is>
      </c>
      <c r="D1742" s="6" t="inlineStr">
        <is>
          <t>應計儲蓄存款利息</t>
        </is>
      </c>
    </row>
    <row r="1743" ht="27.6" customFormat="1" customHeight="1" s="11">
      <c r="A1743" s="6" t="inlineStr">
        <is>
          <t>Lương của Tổng Giám đốc</t>
        </is>
      </c>
      <c r="B1743" s="6" t="inlineStr">
        <is>
          <t>Salaries and remuneration of General Director</t>
        </is>
      </c>
      <c r="C1743" s="6" t="inlineStr">
        <is>
          <t>总经理的薪资</t>
        </is>
      </c>
      <c r="D1743" s="6" t="inlineStr">
        <is>
          <t>總經理的薪資</t>
        </is>
      </c>
    </row>
    <row r="1744" ht="27.6" customFormat="1" customHeight="1" s="11">
      <c r="A1744" s="6" t="inlineStr">
        <is>
          <t>Mua máy móc thiết bị</t>
        </is>
      </c>
      <c r="B1744" s="6" t="inlineStr">
        <is>
          <t>Purchase of machinery and equipment</t>
        </is>
      </c>
      <c r="C1744" s="6" t="inlineStr">
        <is>
          <t>购买机器设备</t>
        </is>
      </c>
      <c r="D1744" s="6" t="inlineStr">
        <is>
          <t>購買機器設備</t>
        </is>
      </c>
    </row>
    <row r="1745" ht="27.6" customFormat="1" customHeight="1" s="11">
      <c r="A1745" s="6" t="inlineStr">
        <is>
          <t>Mua tài sản, công cụ</t>
        </is>
      </c>
      <c r="B1745" s="6" t="inlineStr">
        <is>
          <t>Purchase of assets, tools and supplies</t>
        </is>
      </c>
      <c r="C1745" s="6" t="inlineStr">
        <is>
          <t>购买资产、工具</t>
        </is>
      </c>
      <c r="D1745" s="6" t="inlineStr">
        <is>
          <t>購買資產、工具</t>
        </is>
      </c>
    </row>
    <row r="1746" customFormat="1" s="11">
      <c r="A1746" s="6" t="inlineStr">
        <is>
          <t>Mục đích sử dụng</t>
        </is>
      </c>
      <c r="B1746" s="6" t="inlineStr">
        <is>
          <t>Intended use</t>
        </is>
      </c>
      <c r="C1746" s="6" t="inlineStr">
        <is>
          <t>使用目的</t>
        </is>
      </c>
      <c r="D1746" s="6" t="inlineStr">
        <is>
          <t>使用目的</t>
        </is>
      </c>
    </row>
    <row r="1747" ht="27.6" customFormat="1" customHeight="1" s="11">
      <c r="A1747" s="6" t="inlineStr">
        <is>
          <t>Mượn tiền/(Trả tiền mượn)</t>
        </is>
      </c>
      <c r="B1747" s="6" t="inlineStr">
        <is>
          <t>Borrowings/(Repayment of borrowings)</t>
        </is>
      </c>
      <c r="C1747" s="6" t="inlineStr">
        <is>
          <t>借款/(偿还借款)</t>
        </is>
      </c>
      <c r="D1747" s="6" t="inlineStr">
        <is>
          <t>借款/(償還借款)</t>
        </is>
      </c>
    </row>
    <row r="1748" ht="41.4" customFormat="1" customHeight="1" s="11">
      <c r="A1748" s="6" t="inlineStr">
        <is>
          <t>Ngân hàng TMCP Đầu tư và Phát triển Việt Nam</t>
        </is>
      </c>
      <c r="B1748" s="6" t="inlineStr">
        <is>
          <t>Joint Stock Commercial Bank for Investment and Development of Vietnam</t>
        </is>
      </c>
      <c r="C1748" s="6" t="inlineStr">
        <is>
          <t>越南投资与发展股份商业银行</t>
        </is>
      </c>
      <c r="D1748" s="6" t="inlineStr">
        <is>
          <t>越南投資與發展股份商業銀行</t>
        </is>
      </c>
    </row>
    <row r="1749" ht="27.6" customFormat="1" customHeight="1" s="11">
      <c r="A1749" s="6" t="inlineStr">
        <is>
          <t>Ngân hàng TMCP Việt Nam Thịnh Vượng</t>
        </is>
      </c>
      <c r="B1749" s="6" t="inlineStr">
        <is>
          <t>Vietnam Prosperity Joint Stock Commercial Bank</t>
        </is>
      </c>
      <c r="C1749" s="6" t="inlineStr">
        <is>
          <t>越南繁荣股份商业银行</t>
        </is>
      </c>
      <c r="D1749" s="6" t="inlineStr">
        <is>
          <t>越南繁榮股份商業銀行</t>
        </is>
      </c>
    </row>
    <row r="1750" customFormat="1" s="11">
      <c r="A1750" s="6" t="inlineStr">
        <is>
          <t>Ngân hàng TNHH CTBC</t>
        </is>
      </c>
      <c r="B1750" s="6" t="inlineStr">
        <is>
          <t>CTBC Bank Co., Ltd</t>
        </is>
      </c>
      <c r="C1750" s="6" t="inlineStr">
        <is>
          <t>中国信托有限责任银行</t>
        </is>
      </c>
      <c r="D1750" s="6" t="inlineStr">
        <is>
          <t>中國信託有限責任銀行</t>
        </is>
      </c>
    </row>
    <row r="1751" ht="27.6" customFormat="1" customHeight="1" s="11">
      <c r="A1751" s="6" t="inlineStr">
        <is>
          <t>Nhận đặt cọc thu mua phế liệu</t>
        </is>
      </c>
      <c r="B1751" s="6" t="inlineStr">
        <is>
          <t>Receipt of deposit for scrap material purchases</t>
        </is>
      </c>
      <c r="C1751" s="6" t="inlineStr">
        <is>
          <t>出售废脚料预收款</t>
        </is>
      </c>
      <c r="D1751" s="6" t="inlineStr">
        <is>
          <t>出售廢腳料預收款</t>
        </is>
      </c>
    </row>
    <row r="1752" ht="27.6" customFormat="1" customHeight="1" s="11">
      <c r="A1752" s="6" t="inlineStr">
        <is>
          <t>Phạt hành chính, chậm nộp thuế</t>
        </is>
      </c>
      <c r="B1752" s="6" t="inlineStr">
        <is>
          <t>Administrative penalties, late payment interest</t>
        </is>
      </c>
      <c r="C1752" s="6" t="inlineStr">
        <is>
          <t>行政罚款、滞纳罚款</t>
        </is>
      </c>
      <c r="D1752" s="6" t="inlineStr">
        <is>
          <t>行政罰款、滯納罰款</t>
        </is>
      </c>
    </row>
    <row r="1753" ht="27.6" customFormat="1" customHeight="1" s="11">
      <c r="A1753" s="6" t="inlineStr">
        <is>
          <t>Phí, lệ phí và các khoản phải nộp khác</t>
        </is>
      </c>
      <c r="B1753" s="6" t="inlineStr">
        <is>
          <t>Charges, fees and other payables</t>
        </is>
      </c>
      <c r="C1753" s="6" t="inlineStr">
        <is>
          <t>例费、规费及其他应缴款</t>
        </is>
      </c>
      <c r="D1753" s="6" t="inlineStr">
        <is>
          <t>例費、規費及其他應繳款</t>
        </is>
      </c>
    </row>
    <row r="1754" ht="27.6" customFormat="1" customHeight="1" s="11">
      <c r="A1754" s="6" t="inlineStr">
        <is>
          <t>Quy định tại văn bản nhận nợ</t>
        </is>
      </c>
      <c r="B1754" s="6" t="inlineStr">
        <is>
          <t>Specified at the promissory note</t>
        </is>
      </c>
      <c r="C1754" s="6" t="inlineStr">
        <is>
          <t>在债务确认文件规定</t>
        </is>
      </c>
      <c r="D1754" s="6" t="inlineStr">
        <is>
          <t>在債務確認文件規定</t>
        </is>
      </c>
    </row>
    <row r="1755" ht="41.4" customFormat="1" customHeight="1" s="11">
      <c r="A1755" s="6" t="inlineStr">
        <is>
          <t>Số cuối kỳ trước, đầu năm nay</t>
        </is>
      </c>
      <c r="B1755" s="6" t="inlineStr">
        <is>
          <t>Closing balance of prior year, Opening balance of current year</t>
        </is>
      </c>
      <c r="C1755" s="6" t="inlineStr">
        <is>
          <t>上期期末余额、本年期初余额</t>
        </is>
      </c>
      <c r="D1755" s="6" t="inlineStr">
        <is>
          <t>上期期末餘額、本年期初餘額</t>
        </is>
      </c>
    </row>
    <row r="1756" ht="27.6" customFormat="1" customHeight="1" s="11">
      <c r="A1756" s="6" t="inlineStr">
        <is>
          <t>Tăng vốn trong kỳ này</t>
        </is>
      </c>
      <c r="B1756" s="6" t="inlineStr">
        <is>
          <t>Capital increased in current period</t>
        </is>
      </c>
      <c r="C1756" s="6" t="inlineStr">
        <is>
          <t>本期追加资本</t>
        </is>
      </c>
      <c r="D1756" s="6" t="inlineStr">
        <is>
          <t>本期追加資本</t>
        </is>
      </c>
    </row>
    <row r="1757" ht="41.4" customFormat="1" customHeight="1" s="11">
      <c r="A1757" s="6" t="inlineStr">
        <is>
          <t>Theo giấy chứng nhận đăng ký đầu tư vàgiấy chứng nhận đăng ký doanh nghiệp</t>
        </is>
      </c>
      <c r="B1757" s="6" t="inlineStr">
        <is>
          <t>Per investment registration certificate and enterprise registration certificate</t>
        </is>
      </c>
      <c r="C1757" s="6" t="inlineStr">
        <is>
          <t>根据投资登记证书和企业登记证书</t>
        </is>
      </c>
      <c r="D1757" s="6" t="inlineStr">
        <is>
          <t>根據投資登記證書和企業登記證書</t>
        </is>
      </c>
    </row>
    <row r="1758" ht="41.4" customFormat="1" customHeight="1" s="11">
      <c r="A1758" s="6" t="inlineStr">
        <is>
          <t>Theo giấy chứng nhận đầu tư và giấy chứng nhận đăng ký doanh nghiệp</t>
        </is>
      </c>
      <c r="B1758" s="6" t="inlineStr">
        <is>
          <t>Per investment certificate and enterprise registration certificate</t>
        </is>
      </c>
      <c r="C1758" s="6" t="inlineStr">
        <is>
          <t>根据投资证书和企业登记证书</t>
        </is>
      </c>
      <c r="D1758" s="6" t="inlineStr">
        <is>
          <t>根據投資證書和企業登記證書</t>
        </is>
      </c>
    </row>
    <row r="1759" customFormat="1" s="11">
      <c r="A1759" s="6" t="inlineStr">
        <is>
          <t>Thu nhập từ hàng mẫu</t>
        </is>
      </c>
      <c r="B1759" s="6" t="inlineStr">
        <is>
          <t>Income from samples</t>
        </is>
      </c>
      <c r="C1759" s="6" t="inlineStr">
        <is>
          <t>样品收入</t>
        </is>
      </c>
      <c r="D1759" s="6" t="inlineStr">
        <is>
          <t>樣品收入</t>
        </is>
      </c>
    </row>
    <row r="1760" ht="41.4" customFormat="1" customHeight="1" s="11">
      <c r="A1760" s="6" t="inlineStr">
        <is>
          <t>Thu nhập từ hoạt động sản xuất kinh doanh được ưu đãi thuế</t>
        </is>
      </c>
      <c r="B1760" s="6" t="inlineStr">
        <is>
          <t>Income from business and production activities eligible for tax incentives</t>
        </is>
      </c>
      <c r="C1760" s="6" t="inlineStr">
        <is>
          <t>适用税收优惠的生产经营活动收入</t>
        </is>
      </c>
      <c r="D1760" s="6" t="inlineStr">
        <is>
          <t>適用稅收優惠的生產經營活動收入</t>
        </is>
      </c>
    </row>
    <row r="1761" ht="27.6" customFormat="1" customHeight="1" s="11">
      <c r="A1761" s="6" t="inlineStr">
        <is>
          <t>Thu nhập từ thanh lý tài sản cố định</t>
        </is>
      </c>
      <c r="B1761" s="6" t="inlineStr">
        <is>
          <t>Proceeds from disposal of fixed assets</t>
        </is>
      </c>
      <c r="C1761" s="6" t="inlineStr">
        <is>
          <t>固定资产处置收入</t>
        </is>
      </c>
      <c r="D1761" s="6" t="inlineStr">
        <is>
          <t>固定資產處置收入</t>
        </is>
      </c>
    </row>
    <row r="1762" ht="27.6" customFormat="1" customHeight="1" s="11">
      <c r="A1762" s="6" t="inlineStr">
        <is>
          <t>Thừa ủy quyền Chủ tịch Công ty</t>
        </is>
      </c>
      <c r="B1762" s="6" t="inlineStr">
        <is>
          <t>For and on behalf of Chairman of the Company</t>
        </is>
      </c>
      <c r="C1762" s="6" t="inlineStr">
        <is>
          <t>董事长授权人</t>
        </is>
      </c>
      <c r="D1762" s="6" t="inlineStr">
        <is>
          <t>董事長授權人</t>
        </is>
      </c>
    </row>
    <row r="1763" ht="27.6" customFormat="1" customHeight="1" s="11">
      <c r="A1763" s="6" t="inlineStr">
        <is>
          <t>Thuế giá trị gia tăng chưa kê khai khấu trừ</t>
        </is>
      </c>
      <c r="B1763" s="6" t="inlineStr">
        <is>
          <t>Unclaimed value-added tax</t>
        </is>
      </c>
      <c r="C1763" s="6" t="inlineStr">
        <is>
          <t>未申报抵扣增值税</t>
        </is>
      </c>
      <c r="D1763" s="6" t="inlineStr">
        <is>
          <t>未申報抵扣增值稅</t>
        </is>
      </c>
    </row>
    <row r="1764" customFormat="1" s="11">
      <c r="A1764" s="6" t="inlineStr">
        <is>
          <t>Thuế khác</t>
        </is>
      </c>
      <c r="B1764" s="6" t="inlineStr">
        <is>
          <t>Other taxes</t>
        </is>
      </c>
      <c r="C1764" s="6" t="inlineStr">
        <is>
          <t>其他税项</t>
        </is>
      </c>
      <c r="D1764" s="6" t="inlineStr">
        <is>
          <t>其他稅項</t>
        </is>
      </c>
    </row>
    <row r="1765" ht="27.6" customFormat="1" customHeight="1" s="11">
      <c r="A1765" s="6" t="inlineStr">
        <is>
          <t>Thuế thu nhập doanh nghiệp được giảm trong năm</t>
        </is>
      </c>
      <c r="B1765" s="6" t="inlineStr">
        <is>
          <t>Corporate income tax deductible in the year</t>
        </is>
      </c>
      <c r="C1765" s="6" t="inlineStr">
        <is>
          <t>年度内可减免的企业所得税额</t>
        </is>
      </c>
      <c r="D1765" s="6" t="inlineStr">
        <is>
          <t>年度內可減免的企業所得稅額</t>
        </is>
      </c>
    </row>
    <row r="1766" ht="41.4" customFormat="1" customHeight="1" s="11">
      <c r="A1766" s="6" t="inlineStr">
        <is>
          <t>Thuế thu nhập doanh nghiệp phải nộp ước tính từ thu nhập tính thuế</t>
        </is>
      </c>
      <c r="B1766" s="6" t="inlineStr">
        <is>
          <t>Estimated corporate income tax payable from assessable income</t>
        </is>
      </c>
      <c r="C1766" s="6" t="inlineStr">
        <is>
          <t>应纳税所得的预估应缴企业所得税额</t>
        </is>
      </c>
      <c r="D1766" s="6" t="inlineStr">
        <is>
          <t>應納稅所得的預估應繳企業所得稅額</t>
        </is>
      </c>
    </row>
    <row r="1767" ht="27.6" customFormat="1" customHeight="1" s="11">
      <c r="A1767" s="6" t="inlineStr">
        <is>
          <t>Tiền thu từ phát hành cổ phần, nhận góp vốn của chủ sở hữu</t>
        </is>
      </c>
      <c r="B1767" s="6" t="inlineStr">
        <is>
          <t>Proceeds from equity issue and owner’s equity</t>
        </is>
      </c>
      <c r="C1767" s="6" t="inlineStr">
        <is>
          <t>发行股份、接受所有者出资收入</t>
        </is>
      </c>
      <c r="D1767" s="6" t="inlineStr">
        <is>
          <t>發行股份、接受所有者出資收入</t>
        </is>
      </c>
    </row>
    <row r="1768" customFormat="1" s="11">
      <c r="A1768" s="6" t="inlineStr">
        <is>
          <t>Trị giá</t>
        </is>
      </c>
      <c r="B1768" s="6" t="inlineStr">
        <is>
          <t>Amount</t>
        </is>
      </c>
      <c r="C1768" s="6" t="inlineStr">
        <is>
          <t>价值（金额）</t>
        </is>
      </c>
      <c r="D1768" s="6" t="inlineStr">
        <is>
          <t>價值（金額）</t>
        </is>
      </c>
    </row>
    <row r="1769" customFormat="1" s="11">
      <c r="A1769" s="6" t="inlineStr">
        <is>
          <t>Trích trước chi phí phải trả</t>
        </is>
      </c>
      <c r="B1769" s="6" t="inlineStr">
        <is>
          <t>Accrual for payables</t>
        </is>
      </c>
      <c r="C1769" s="6" t="inlineStr">
        <is>
          <t>预提应付费用</t>
        </is>
      </c>
      <c r="D1769" s="6" t="inlineStr">
        <is>
          <t>預提應付費用</t>
        </is>
      </c>
    </row>
    <row r="1770" customFormat="1" s="11">
      <c r="A1770" s="6" t="inlineStr">
        <is>
          <t>Trích trước chi phí thưởng</t>
        </is>
      </c>
      <c r="B1770" s="6" t="inlineStr">
        <is>
          <t>Accrual for bonuses</t>
        </is>
      </c>
      <c r="C1770" s="6" t="inlineStr">
        <is>
          <t>预提奖金费用</t>
        </is>
      </c>
      <c r="D1770" s="6" t="inlineStr">
        <is>
          <t>預提獎金費用</t>
        </is>
      </c>
    </row>
    <row r="1771" customFormat="1" s="11">
      <c r="A1771" s="6" t="inlineStr">
        <is>
          <t>Trích trước phí kế toán</t>
        </is>
      </c>
      <c r="B1771" s="6" t="inlineStr">
        <is>
          <t>Accrual for accounting fees</t>
        </is>
      </c>
      <c r="C1771" s="6" t="inlineStr">
        <is>
          <t>预提会计劳务费</t>
        </is>
      </c>
      <c r="D1771" s="6" t="inlineStr">
        <is>
          <t>預提會計勞務費</t>
        </is>
      </c>
    </row>
    <row r="1772" ht="27.6" customFormat="1" customHeight="1" s="11">
      <c r="A1772" s="6" t="inlineStr">
        <is>
          <t>Trích trước tiền lương tháng 13</t>
        </is>
      </c>
      <c r="B1772" s="6" t="inlineStr">
        <is>
          <t>Accrual for the 13th month salaries</t>
        </is>
      </c>
      <c r="C1772" s="6" t="inlineStr">
        <is>
          <t>预提十三薪费用</t>
        </is>
      </c>
      <c r="D1772" s="6" t="inlineStr">
        <is>
          <t>預提十三薪費用</t>
        </is>
      </c>
    </row>
    <row r="1773" customFormat="1" s="11">
      <c r="A1773" s="6" t="inlineStr">
        <is>
          <t>Vay dài hạn:</t>
        </is>
      </c>
      <c r="B1773" s="6" t="inlineStr">
        <is>
          <t>Long-term borrowings:</t>
        </is>
      </c>
      <c r="C1773" s="6" t="inlineStr">
        <is>
          <t>长期借款：</t>
        </is>
      </c>
      <c r="D1773" s="6" t="inlineStr">
        <is>
          <t>長期借款：</t>
        </is>
      </c>
    </row>
    <row r="1774" customFormat="1" s="11">
      <c r="A1774" s="6" t="inlineStr">
        <is>
          <t>(tháng)</t>
        </is>
      </c>
      <c r="B1774" s="6" t="inlineStr">
        <is>
          <t>(month)</t>
        </is>
      </c>
      <c r="C1774" s="6" t="inlineStr">
        <is>
          <t>（月）</t>
        </is>
      </c>
      <c r="D1774" s="6" t="inlineStr">
        <is>
          <t>（月）</t>
        </is>
      </c>
    </row>
    <row r="1775" customFormat="1" s="11">
      <c r="A1775" s="6" t="inlineStr">
        <is>
          <t>Bán tài sản cố định</t>
        </is>
      </c>
      <c r="B1775" s="6" t="inlineStr">
        <is>
          <t>Sale of fixed assets</t>
        </is>
      </c>
      <c r="C1775" s="6" t="inlineStr">
        <is>
          <t>出售固定资产</t>
        </is>
      </c>
      <c r="D1775" s="6" t="inlineStr">
        <is>
          <t>出售固定資產</t>
        </is>
      </c>
    </row>
    <row r="1776" ht="27.6" customFormat="1" customHeight="1" s="11">
      <c r="A1776" s="6" t="inlineStr">
        <is>
          <t>BÁO CÁO CỦA CHỦ TỊCH KIÊM TỔNG GIÁM ĐỐC</t>
        </is>
      </c>
      <c r="B1776" s="6" t="inlineStr">
        <is>
          <t>REPORT OF CHAIRMAN CUM GENERAL DIRECTOR</t>
        </is>
      </c>
      <c r="C1776" s="6" t="inlineStr">
        <is>
          <t>董事长兼总经理报告</t>
        </is>
      </c>
      <c r="D1776" s="6" t="inlineStr">
        <is>
          <t>董事長兼總經理報告</t>
        </is>
      </c>
    </row>
    <row r="1777" customFormat="1" s="11">
      <c r="A1777" s="6" t="inlineStr">
        <is>
          <t>Các khoản ký quỹ ngắn hạn</t>
        </is>
      </c>
      <c r="B1777" s="6" t="inlineStr">
        <is>
          <t>Short-term deposits</t>
        </is>
      </c>
      <c r="C1777" s="6" t="inlineStr">
        <is>
          <t>短期保证金</t>
        </is>
      </c>
      <c r="D1777" s="6" t="inlineStr">
        <is>
          <t>短期保證金</t>
        </is>
      </c>
    </row>
    <row r="1778" customFormat="1" s="11">
      <c r="A1778" s="6" t="inlineStr">
        <is>
          <t>Các khoản phạt thuế</t>
        </is>
      </c>
      <c r="B1778" s="6" t="inlineStr">
        <is>
          <t>Tax penalties</t>
        </is>
      </c>
      <c r="C1778" s="6" t="inlineStr">
        <is>
          <t>税收罚款</t>
        </is>
      </c>
      <c r="D1778" s="6" t="inlineStr">
        <is>
          <t>稅收罰款</t>
        </is>
      </c>
    </row>
    <row r="1779" customFormat="1" s="11">
      <c r="A1779" s="6" t="inlineStr">
        <is>
          <t>Chi phí bất thường khác</t>
        </is>
      </c>
      <c r="B1779" s="6" t="inlineStr">
        <is>
          <t>Other extraordinary expenses</t>
        </is>
      </c>
      <c r="C1779" s="6" t="inlineStr">
        <is>
          <t>其他非经常性费用</t>
        </is>
      </c>
      <c r="D1779" s="6" t="inlineStr">
        <is>
          <t>其他非經常性費用</t>
        </is>
      </c>
    </row>
    <row r="1780" ht="27.6" customFormat="1" customHeight="1" s="11">
      <c r="A1780" s="6" t="inlineStr">
        <is>
          <t>Chi phí chưa có hóa đơn</t>
        </is>
      </c>
      <c r="B1780" s="6" t="inlineStr">
        <is>
          <t>Expenses with unreceived invoices</t>
        </is>
      </c>
      <c r="C1780" s="6" t="inlineStr">
        <is>
          <t>无发票费用</t>
        </is>
      </c>
      <c r="D1780" s="6" t="inlineStr">
        <is>
          <t>無發票費用</t>
        </is>
      </c>
    </row>
    <row r="1781" ht="27.6" customFormat="1" customHeight="1" s="11">
      <c r="A1781" s="6" t="inlineStr">
        <is>
          <t>Chi phí chứng từ, vận chuyển, bốc dỡ</t>
        </is>
      </c>
      <c r="B1781" s="6" t="inlineStr">
        <is>
          <t>Vouchers, transportation and loading</t>
        </is>
      </c>
      <c r="C1781" s="6" t="inlineStr">
        <is>
          <t>文件、运输、装卸费用</t>
        </is>
      </c>
      <c r="D1781" s="6" t="inlineStr">
        <is>
          <t>檔、運輸、裝卸費用</t>
        </is>
      </c>
    </row>
    <row r="1782" customFormat="1" s="11">
      <c r="A1782" s="6" t="inlineStr">
        <is>
          <t>Chi phí đi vay được vốn hóa</t>
        </is>
      </c>
      <c r="B1782" s="6" t="inlineStr">
        <is>
          <t>Borrowing costs capitalized</t>
        </is>
      </c>
      <c r="C1782" s="6" t="inlineStr">
        <is>
          <t>应予资本化的借款费用</t>
        </is>
      </c>
      <c r="D1782" s="6" t="inlineStr">
        <is>
          <t>應予資本化的借款費用</t>
        </is>
      </c>
    </row>
    <row r="1783" customFormat="1" s="11">
      <c r="A1783" s="6" t="inlineStr">
        <is>
          <t>Chi phí dịch vụ thuê ngoài</t>
        </is>
      </c>
      <c r="B1783" s="6" t="inlineStr">
        <is>
          <t>Outsourcing expenses</t>
        </is>
      </c>
      <c r="C1783" s="6" t="inlineStr">
        <is>
          <t>外包服务费</t>
        </is>
      </c>
      <c r="D1783" s="6" t="inlineStr">
        <is>
          <t>外包服務費</t>
        </is>
      </c>
    </row>
    <row r="1784" ht="27.6" customFormat="1" customHeight="1" s="11">
      <c r="A1784" s="6" t="inlineStr">
        <is>
          <t>Chi phí dự phòng phải thu khó đòi</t>
        </is>
      </c>
      <c r="B1784" s="6" t="inlineStr">
        <is>
          <t>Provision for doubtful debts</t>
        </is>
      </c>
      <c r="C1784" s="6" t="inlineStr">
        <is>
          <t>坏账准备金 （备抵呆账）</t>
        </is>
      </c>
      <c r="D1784" s="6" t="inlineStr">
        <is>
          <t>壞賬準備金 （備抵呆帳）</t>
        </is>
      </c>
    </row>
    <row r="1785" customFormat="1" s="11">
      <c r="A1785" s="6" t="inlineStr">
        <is>
          <t>Chi phí lãi vay trích trước</t>
        </is>
      </c>
      <c r="B1785" s="6" t="inlineStr">
        <is>
          <t>Accrual for interest expenses</t>
        </is>
      </c>
      <c r="C1785" s="6" t="inlineStr">
        <is>
          <t>预提借款利息费用</t>
        </is>
      </c>
      <c r="D1785" s="6" t="inlineStr">
        <is>
          <t>預提借款利息費用</t>
        </is>
      </c>
    </row>
    <row r="1786" ht="27.6" customFormat="1" customHeight="1" s="11">
      <c r="A1786" s="6" t="inlineStr">
        <is>
          <t>Chi phí mua sắm tài sản cố định</t>
        </is>
      </c>
      <c r="B1786" s="6" t="inlineStr">
        <is>
          <t>Purchase of fixed assets</t>
        </is>
      </c>
      <c r="C1786" s="6" t="inlineStr">
        <is>
          <t>固定资产购置费用</t>
        </is>
      </c>
      <c r="D1786" s="6" t="inlineStr">
        <is>
          <t>固定資產購置費用</t>
        </is>
      </c>
    </row>
    <row r="1787" customFormat="1" s="11">
      <c r="A1787" s="6" t="inlineStr">
        <is>
          <t>Chi phí nguyên vật liệu</t>
        </is>
      </c>
      <c r="B1787" s="6" t="inlineStr">
        <is>
          <t>Raw materials</t>
        </is>
      </c>
      <c r="C1787" s="6" t="inlineStr">
        <is>
          <t>原材料成本</t>
        </is>
      </c>
      <c r="D1787" s="6" t="inlineStr">
        <is>
          <t>原材料成本</t>
        </is>
      </c>
    </row>
    <row r="1788" customFormat="1" s="11">
      <c r="A1788" s="6" t="inlineStr">
        <is>
          <t>Chi phí phân bổ</t>
        </is>
      </c>
      <c r="B1788" s="6" t="inlineStr">
        <is>
          <t>Allocation</t>
        </is>
      </c>
      <c r="C1788" s="6" t="inlineStr">
        <is>
          <t>摊销费用</t>
        </is>
      </c>
      <c r="D1788" s="6" t="inlineStr">
        <is>
          <t>攤銷費用</t>
        </is>
      </c>
    </row>
    <row r="1789" customFormat="1" s="11">
      <c r="A1789" s="6" t="inlineStr">
        <is>
          <t>Chi phí quản lý</t>
        </is>
      </c>
      <c r="B1789" s="6" t="inlineStr">
        <is>
          <t>Management expenses</t>
        </is>
      </c>
      <c r="C1789" s="6" t="inlineStr">
        <is>
          <t>管理费用</t>
        </is>
      </c>
      <c r="D1789" s="6" t="inlineStr">
        <is>
          <t>管理費用</t>
        </is>
      </c>
    </row>
    <row r="1790" customFormat="1" s="11">
      <c r="A1790" s="6" t="inlineStr">
        <is>
          <t>Chi phí san lấp mặt bằng</t>
        </is>
      </c>
      <c r="B1790" s="6" t="inlineStr">
        <is>
          <t>Land leveling expenses</t>
        </is>
      </c>
      <c r="C1790" s="6" t="inlineStr">
        <is>
          <t>场地平整费用</t>
        </is>
      </c>
      <c r="D1790" s="6" t="inlineStr">
        <is>
          <t>場地平整費用</t>
        </is>
      </c>
    </row>
    <row r="1791" customFormat="1" s="11">
      <c r="A1791" s="6" t="inlineStr">
        <is>
          <t>Chi phí thuê đất trả trước</t>
        </is>
      </c>
      <c r="B1791" s="6" t="inlineStr">
        <is>
          <t>Prepaid land rents</t>
        </is>
      </c>
      <c r="C1791" s="6" t="inlineStr">
        <is>
          <t>预付土租赁费用</t>
        </is>
      </c>
      <c r="D1791" s="6" t="inlineStr">
        <is>
          <t>預付土租賃費用</t>
        </is>
      </c>
    </row>
    <row r="1792" customFormat="1" s="11">
      <c r="A1792" s="6" t="inlineStr">
        <is>
          <t>Chi phí xây dựng phân xưởng</t>
        </is>
      </c>
      <c r="B1792" s="6" t="inlineStr">
        <is>
          <t>Construction of workshop</t>
        </is>
      </c>
      <c r="C1792" s="6" t="inlineStr">
        <is>
          <t>车间建设费用</t>
        </is>
      </c>
      <c r="D1792" s="6" t="inlineStr">
        <is>
          <t>車間建設費用</t>
        </is>
      </c>
    </row>
    <row r="1793" ht="27.6" customFormat="1" customHeight="1" s="11">
      <c r="A1793" s="6" t="inlineStr">
        <is>
          <t>Cho vay/(Thu hồi hồi tiền cho vay)</t>
        </is>
      </c>
      <c r="B1793" s="6" t="inlineStr">
        <is>
          <t>Loans granted / (Repayments received)</t>
        </is>
      </c>
      <c r="C1793" s="6" t="inlineStr">
        <is>
          <t>出借款/(收回出借款)</t>
        </is>
      </c>
      <c r="D1793" s="6" t="inlineStr">
        <is>
          <t>出借款/(收回出借款)</t>
        </is>
      </c>
    </row>
    <row r="1794" ht="27.6" customFormat="1" customHeight="1" s="11">
      <c r="A1794" s="6" t="inlineStr">
        <is>
          <t>Chủ đầu tư - Phó Tổng Giám đốc</t>
        </is>
      </c>
      <c r="B1794" s="6" t="inlineStr">
        <is>
          <t>Investor - Deputy General Director</t>
        </is>
      </c>
      <c r="C1794" s="6" t="inlineStr">
        <is>
          <t>投资者 - 副总经理</t>
        </is>
      </c>
      <c r="D1794" s="6" t="inlineStr">
        <is>
          <t>投資者 - 副總經理</t>
        </is>
      </c>
    </row>
    <row r="1795" customFormat="1" s="11">
      <c r="A1795" s="6" t="inlineStr">
        <is>
          <t>Chủ sở hữu kiêm Giám đốc</t>
        </is>
      </c>
      <c r="B1795" s="6" t="inlineStr">
        <is>
          <t>Owner cum Director</t>
        </is>
      </c>
      <c r="C1795" s="6" t="inlineStr">
        <is>
          <t>所有者（股东）兼经理</t>
        </is>
      </c>
      <c r="D1795" s="6" t="inlineStr">
        <is>
          <t>所有者（股東）兼經理</t>
        </is>
      </c>
    </row>
    <row r="1796" customFormat="1" s="11">
      <c r="A1796" s="6" t="inlineStr">
        <is>
          <t>Công trình xây dựng nhà xưởng</t>
        </is>
      </c>
      <c r="B1796" s="6" t="inlineStr">
        <is>
          <t>Construction of factory</t>
        </is>
      </c>
      <c r="C1796" s="6" t="inlineStr">
        <is>
          <t>厂房建设工程</t>
        </is>
      </c>
      <c r="D1796" s="6" t="inlineStr">
        <is>
          <t>廠房建設工程</t>
        </is>
      </c>
    </row>
    <row r="1797" ht="27.6" customFormat="1" customHeight="1" s="11">
      <c r="A1797" s="6" t="inlineStr">
        <is>
          <t>Đã kết chuyển tăng chi phí trong kỳ</t>
        </is>
      </c>
      <c r="B1797" s="6" t="inlineStr">
        <is>
          <t>Transferred to increase expenses in the period</t>
        </is>
      </c>
      <c r="C1797" s="6" t="inlineStr">
        <is>
          <t>已转增期内费用</t>
        </is>
      </c>
      <c r="D1797" s="6" t="inlineStr">
        <is>
          <t>已轉增期內費用</t>
        </is>
      </c>
    </row>
    <row r="1798" customFormat="1" s="11">
      <c r="A1798" s="6" t="inlineStr">
        <is>
          <t>Đảm bảo</t>
        </is>
      </c>
      <c r="B1798" s="6" t="inlineStr">
        <is>
          <t>Guarantee</t>
        </is>
      </c>
      <c r="C1798" s="6" t="inlineStr">
        <is>
          <t>担保</t>
        </is>
      </c>
      <c r="D1798" s="6" t="inlineStr">
        <is>
          <t>擔保</t>
        </is>
      </c>
    </row>
    <row r="1799" ht="27.6" customFormat="1" customHeight="1" s="11">
      <c r="A1799" s="6" t="inlineStr">
        <is>
          <t>Đặt cọc thuê nhà dài hạn</t>
        </is>
      </c>
      <c r="B1799" s="6" t="inlineStr">
        <is>
          <t>Deposit for long-term house lease</t>
        </is>
      </c>
      <c r="C1799" s="6" t="inlineStr">
        <is>
          <t>房屋长期租赁押金</t>
        </is>
      </c>
      <c r="D1799" s="6" t="inlineStr">
        <is>
          <t>房屋長期租賃押金</t>
        </is>
      </c>
    </row>
    <row r="1800" customFormat="1" s="11">
      <c r="A1800" s="6" t="inlineStr">
        <is>
          <t>Đặt cọc thuê taxi</t>
        </is>
      </c>
      <c r="B1800" s="6" t="inlineStr">
        <is>
          <t>Deposit for taxi services</t>
        </is>
      </c>
      <c r="C1800" s="6" t="inlineStr">
        <is>
          <t>计程车租赁押金</t>
        </is>
      </c>
      <c r="D1800" s="6" t="inlineStr">
        <is>
          <t>計程車租賃押金</t>
        </is>
      </c>
    </row>
    <row r="1801" customFormat="1" s="11">
      <c r="A1801" s="6" t="inlineStr">
        <is>
          <t>Đặt cọc thuê xưởng</t>
        </is>
      </c>
      <c r="B1801" s="6" t="inlineStr">
        <is>
          <t>Deposit for factory lease</t>
        </is>
      </c>
      <c r="C1801" s="6" t="inlineStr">
        <is>
          <t>厂房租赁押金</t>
        </is>
      </c>
      <c r="D1801" s="6" t="inlineStr">
        <is>
          <t>廠房租賃押金</t>
        </is>
      </c>
    </row>
    <row r="1802" customFormat="1" s="11">
      <c r="A1802" s="6" t="inlineStr">
        <is>
          <t>Dịch vụ mua ngoài</t>
        </is>
      </c>
      <c r="B1802" s="6" t="inlineStr">
        <is>
          <t>Outsourcing services</t>
        </is>
      </c>
      <c r="C1802" s="6" t="inlineStr">
        <is>
          <t>外包服务</t>
        </is>
      </c>
      <c r="D1802" s="6" t="inlineStr">
        <is>
          <t>外包服務</t>
        </is>
      </c>
    </row>
    <row r="1803" customFormat="1" s="11">
      <c r="A1803" s="6" t="inlineStr">
        <is>
          <t>Điều chỉnh công nợ</t>
        </is>
      </c>
      <c r="B1803" s="6" t="inlineStr">
        <is>
          <t>Debt adjustments</t>
        </is>
      </c>
      <c r="C1803" s="6" t="inlineStr">
        <is>
          <t>账款调整</t>
        </is>
      </c>
      <c r="D1803" s="6" t="inlineStr">
        <is>
          <t>賬款調整</t>
        </is>
      </c>
    </row>
    <row r="1804" customFormat="1" s="11">
      <c r="A1804" s="6" t="inlineStr">
        <is>
          <t>Điều chỉnh khác</t>
        </is>
      </c>
      <c r="B1804" s="6" t="inlineStr">
        <is>
          <t>Other adjustments</t>
        </is>
      </c>
      <c r="C1804" s="6" t="inlineStr">
        <is>
          <t>其他调整</t>
        </is>
      </c>
      <c r="D1804" s="6" t="inlineStr">
        <is>
          <t>其他調整</t>
        </is>
      </c>
    </row>
    <row r="1805" customFormat="1" s="11">
      <c r="A1805" s="6" t="inlineStr">
        <is>
          <t>Doanh thu thuần bán hàng</t>
        </is>
      </c>
      <c r="B1805" s="6" t="inlineStr">
        <is>
          <t>Net sales from selling goods</t>
        </is>
      </c>
      <c r="C1805" s="6" t="inlineStr">
        <is>
          <t>销售净收入</t>
        </is>
      </c>
      <c r="D1805" s="6" t="inlineStr">
        <is>
          <t>銷售淨收入</t>
        </is>
      </c>
    </row>
    <row r="1806" customFormat="1" s="11">
      <c r="A1806" s="6" t="inlineStr">
        <is>
          <t>Dự phòng phải thu khó đòi</t>
        </is>
      </c>
      <c r="B1806" s="6" t="inlineStr">
        <is>
          <t>Provision for doubtful debts</t>
        </is>
      </c>
      <c r="C1806" s="6" t="inlineStr">
        <is>
          <t>坏账准备金 （备抵呆账）</t>
        </is>
      </c>
      <c r="D1806" s="6" t="inlineStr">
        <is>
          <t>壞賬準備金 （備抵呆帳）</t>
        </is>
      </c>
    </row>
    <row r="1807" ht="27.6" customFormat="1" customHeight="1" s="11">
      <c r="A1807" s="6" t="inlineStr">
        <is>
          <t>Dự phòng phải thu ngắn hạn khó đòi</t>
        </is>
      </c>
      <c r="B1807" s="6" t="inlineStr">
        <is>
          <t>Provision for short-term doubtful debts</t>
        </is>
      </c>
      <c r="C1807" s="6" t="inlineStr">
        <is>
          <t>短期坏账准备金（备抵呆账）</t>
        </is>
      </c>
      <c r="D1807" s="6" t="inlineStr">
        <is>
          <t>短期壞賬準備金（備抵呆帳）</t>
        </is>
      </c>
    </row>
    <row r="1808" customFormat="1" s="11">
      <c r="A1808" s="6" t="inlineStr">
        <is>
          <t>Giá trị Hợp đồng</t>
        </is>
      </c>
      <c r="B1808" s="6" t="inlineStr">
        <is>
          <t>Contract value</t>
        </is>
      </c>
      <c r="C1808" s="6" t="inlineStr">
        <is>
          <t>合同金额</t>
        </is>
      </c>
      <c r="D1808" s="6" t="inlineStr">
        <is>
          <t>合約金額</t>
        </is>
      </c>
    </row>
    <row r="1809" customFormat="1" s="11">
      <c r="A1809" s="6" t="inlineStr">
        <is>
          <t>Giá vốn cho thuê xưởng</t>
        </is>
      </c>
      <c r="B1809" s="6" t="inlineStr">
        <is>
          <t>Cost of leasing factory</t>
        </is>
      </c>
      <c r="C1809" s="6" t="inlineStr">
        <is>
          <t>厂房出租成本</t>
        </is>
      </c>
      <c r="D1809" s="6" t="inlineStr">
        <is>
          <t>廠房出租成本</t>
        </is>
      </c>
    </row>
    <row r="1810" ht="27.6" customFormat="1" customHeight="1" s="11">
      <c r="A1810" s="6" t="inlineStr">
        <is>
          <t>Góp vốn trong kỳ</t>
        </is>
      </c>
      <c r="B1810" s="6" t="inlineStr">
        <is>
          <t>Capital contribution in the period</t>
        </is>
      </c>
      <c r="C1810" s="6" t="inlineStr">
        <is>
          <t>期内出资</t>
        </is>
      </c>
      <c r="D1810" s="6" t="inlineStr">
        <is>
          <t>期內出資</t>
        </is>
      </c>
    </row>
    <row r="1811" ht="27.6" customFormat="1" customHeight="1" s="11">
      <c r="A1811" s="6" t="inlineStr">
        <is>
          <t>Góp vốn trong năm trước</t>
        </is>
      </c>
      <c r="B1811" s="6" t="inlineStr">
        <is>
          <t>Capital contribution in prior year</t>
        </is>
      </c>
      <c r="C1811" s="6" t="inlineStr">
        <is>
          <t>上年度出资</t>
        </is>
      </c>
      <c r="D1811" s="6" t="inlineStr">
        <is>
          <t>上年度出資</t>
        </is>
      </c>
    </row>
    <row r="1812" customFormat="1" s="11">
      <c r="A1812" s="6" t="inlineStr">
        <is>
          <t>Hạn mức cho vay</t>
        </is>
      </c>
      <c r="B1812" s="6" t="inlineStr">
        <is>
          <t>Credit limit</t>
        </is>
      </c>
      <c r="C1812" s="6" t="inlineStr">
        <is>
          <t>放贷（出借款）限额</t>
        </is>
      </c>
      <c r="D1812" s="6" t="inlineStr">
        <is>
          <t>放貸（出借款）限額</t>
        </is>
      </c>
    </row>
    <row r="1813" customFormat="1" s="11">
      <c r="A1813" s="6" t="inlineStr">
        <is>
          <t>Hạn mức vay</t>
        </is>
      </c>
      <c r="B1813" s="6" t="inlineStr">
        <is>
          <t>Credit limit</t>
        </is>
      </c>
      <c r="C1813" s="6" t="inlineStr">
        <is>
          <t>借款限额</t>
        </is>
      </c>
      <c r="D1813" s="6" t="inlineStr">
        <is>
          <t>借款限額</t>
        </is>
      </c>
    </row>
    <row r="1814" ht="27.6" customFormat="1" customHeight="1" s="11">
      <c r="A1814" s="6" t="inlineStr">
        <is>
          <t>Hoàn nhập dự phòng giảm giá hàng tồn kho</t>
        </is>
      </c>
      <c r="B1814" s="6" t="inlineStr">
        <is>
          <t>Reversal of provision for devaluation of inventories</t>
        </is>
      </c>
      <c r="C1814" s="6" t="inlineStr">
        <is>
          <t>存货跌价准备转回</t>
        </is>
      </c>
      <c r="D1814" s="6" t="inlineStr">
        <is>
          <t>存貨跌價準備轉回</t>
        </is>
      </c>
    </row>
    <row r="1815" ht="27.6" customFormat="1" customHeight="1" s="11">
      <c r="A1815" s="6" t="inlineStr">
        <is>
          <t>Khoản ký quỹ, ký cược ngắn hạn</t>
        </is>
      </c>
      <c r="B1815" s="6" t="inlineStr">
        <is>
          <t>Short-term deposits and mortgages</t>
        </is>
      </c>
      <c r="C1815" s="6" t="inlineStr">
        <is>
          <t>短期保证金</t>
        </is>
      </c>
      <c r="D1815" s="6" t="inlineStr">
        <is>
          <t>短期保證金</t>
        </is>
      </c>
    </row>
    <row r="1816" customFormat="1" s="11">
      <c r="A1816" s="6" t="inlineStr">
        <is>
          <t>Ký quỹ taxi</t>
        </is>
      </c>
      <c r="B1816" s="6" t="inlineStr">
        <is>
          <t>Deposit for taxi services</t>
        </is>
      </c>
      <c r="C1816" s="6" t="inlineStr">
        <is>
          <t>计程车保证金</t>
        </is>
      </c>
      <c r="D1816" s="6" t="inlineStr">
        <is>
          <t>計程車保證金</t>
        </is>
      </c>
    </row>
    <row r="1817" customFormat="1" s="11">
      <c r="A1817" s="6" t="inlineStr">
        <is>
          <t>Ký quỹ thuê căn hộ</t>
        </is>
      </c>
      <c r="B1817" s="6" t="inlineStr">
        <is>
          <t>Deposit for apartment rental</t>
        </is>
      </c>
      <c r="C1817" s="6" t="inlineStr">
        <is>
          <t>公寓租赁保证金</t>
        </is>
      </c>
      <c r="D1817" s="6" t="inlineStr">
        <is>
          <t>公寓租賃保證金</t>
        </is>
      </c>
    </row>
    <row r="1818" customFormat="1" s="11">
      <c r="A1818" s="6" t="inlineStr">
        <is>
          <t>Ký quỹ tiền điện</t>
        </is>
      </c>
      <c r="B1818" s="6" t="inlineStr">
        <is>
          <t>Deposit for electricity fees</t>
        </is>
      </c>
      <c r="C1818" s="6" t="inlineStr">
        <is>
          <t>电费保证金</t>
        </is>
      </c>
      <c r="D1818" s="6" t="inlineStr">
        <is>
          <t>電費保證金</t>
        </is>
      </c>
    </row>
    <row r="1819" ht="27.6" customFormat="1" customHeight="1" s="11">
      <c r="A1819" s="6" t="inlineStr">
        <is>
          <t>Lãi cho vay dự thu</t>
        </is>
      </c>
      <c r="B1819" s="6" t="inlineStr">
        <is>
          <t>Interest receivable from loans granted</t>
        </is>
      </c>
      <c r="C1819" s="6" t="inlineStr">
        <is>
          <t>应计放贷（出借款）利息</t>
        </is>
      </c>
      <c r="D1819" s="6" t="inlineStr">
        <is>
          <t>應計放貸（出借款）利息</t>
        </is>
      </c>
    </row>
    <row r="1820" ht="27.6" customFormat="1" customHeight="1" s="11">
      <c r="A1820" s="6" t="inlineStr">
        <is>
          <t>Lợi nhuận được chia từ Công ty con</t>
        </is>
      </c>
      <c r="B1820" s="6" t="inlineStr">
        <is>
          <t>Dividends from Subsidiaries</t>
        </is>
      </c>
      <c r="C1820" s="6" t="inlineStr">
        <is>
          <t>从子公司分得利润</t>
        </is>
      </c>
      <c r="D1820" s="6" t="inlineStr">
        <is>
          <t>從子公司分得利潤</t>
        </is>
      </c>
    </row>
    <row r="1821" customFormat="1" s="11">
      <c r="A1821" s="6" t="inlineStr">
        <is>
          <t>Lợi nhuận kế toán trước thuế</t>
        </is>
      </c>
      <c r="B1821" s="6" t="inlineStr">
        <is>
          <t>Profit before tax</t>
        </is>
      </c>
      <c r="C1821" s="6" t="inlineStr">
        <is>
          <t>税前会计利润</t>
        </is>
      </c>
      <c r="D1821" s="6" t="inlineStr">
        <is>
          <t>稅前會計利潤</t>
        </is>
      </c>
    </row>
    <row r="1822" ht="27.6" customFormat="1" customHeight="1" s="11">
      <c r="A1822" s="6" t="inlineStr">
        <is>
          <t>Lương của Giám đốc</t>
        </is>
      </c>
      <c r="B1822" s="6" t="inlineStr">
        <is>
          <t>Salaries and remuneration of Director</t>
        </is>
      </c>
      <c r="C1822" s="6" t="inlineStr">
        <is>
          <t>经理的薪资</t>
        </is>
      </c>
      <c r="D1822" s="6" t="inlineStr">
        <is>
          <t>經理的薪資</t>
        </is>
      </c>
    </row>
    <row r="1823" ht="41.4" customFormat="1" customHeight="1" s="11">
      <c r="A1823" s="6" t="inlineStr">
        <is>
          <t>Lương và thu nhập của Chủ tịch và Ban Giám đốc</t>
        </is>
      </c>
      <c r="B1823" s="6" t="inlineStr">
        <is>
          <t>Salaries and remuneration of Chairman and the Board of Management</t>
        </is>
      </c>
      <c r="C1823" s="6" t="inlineStr">
        <is>
          <t>董事长和管理层的薪资报酬</t>
        </is>
      </c>
      <c r="D1823" s="6" t="inlineStr">
        <is>
          <t>董事長和管理層的薪資報酬</t>
        </is>
      </c>
    </row>
    <row r="1824" ht="27.6" customFormat="1" customHeight="1" s="11">
      <c r="A1824" s="6" t="inlineStr">
        <is>
          <t>Mệnh giá cổ phần đang lưu hành (VND/cổ phần)</t>
        </is>
      </c>
      <c r="B1824" s="6" t="inlineStr">
        <is>
          <t>Face value of shares in circulation (VND per share)</t>
        </is>
      </c>
      <c r="C1824" s="6" t="inlineStr">
        <is>
          <t>流通股面值（越南盾/股）</t>
        </is>
      </c>
      <c r="D1824" s="6" t="inlineStr">
        <is>
          <t>流通股面值（越南盾/股）</t>
        </is>
      </c>
    </row>
    <row r="1825" ht="27.6" customFormat="1" customHeight="1" s="11">
      <c r="A1825" s="6" t="inlineStr">
        <is>
          <t>Mệnh giá cổ phần đang lưu hành (VND/Cổ phần):</t>
        </is>
      </c>
      <c r="B1825" s="6" t="inlineStr">
        <is>
          <t>Face value of shares in circulation (VND per share)</t>
        </is>
      </c>
      <c r="C1825" s="6" t="inlineStr">
        <is>
          <t>流通股面值（越南盾/股）：</t>
        </is>
      </c>
      <c r="D1825" s="6" t="inlineStr">
        <is>
          <t>流通股面值（越南盾/股）：</t>
        </is>
      </c>
    </row>
    <row r="1826" ht="27.6" customFormat="1" customHeight="1" s="11">
      <c r="A1826" s="6" t="inlineStr">
        <is>
          <t>Ngân hàng Bangkok Đại chúng TNHH</t>
        </is>
      </c>
      <c r="B1826" s="6" t="inlineStr">
        <is>
          <t>Bangkok Bank Public Company Limited</t>
        </is>
      </c>
      <c r="C1826" s="6" t="inlineStr">
        <is>
          <t>曼谷大众有限银行</t>
        </is>
      </c>
      <c r="D1826" s="6" t="inlineStr">
        <is>
          <t>曼谷大眾有限銀行</t>
        </is>
      </c>
    </row>
    <row r="1827" customFormat="1" s="11">
      <c r="A1827" s="6" t="inlineStr">
        <is>
          <t>Ngân hàng BPCE IOM</t>
        </is>
      </c>
      <c r="B1827" s="6" t="inlineStr">
        <is>
          <t>BPCE IOM</t>
        </is>
      </c>
      <c r="C1827" s="6" t="inlineStr">
        <is>
          <t>BPCE IOM银行</t>
        </is>
      </c>
      <c r="D1827" s="6" t="inlineStr">
        <is>
          <t>BPCE IOM銀行</t>
        </is>
      </c>
    </row>
    <row r="1828" ht="27.6" customFormat="1" customHeight="1" s="11">
      <c r="A1828" s="6" t="inlineStr">
        <is>
          <t>Ngân hàng Hua Nan Commercial Bank, Ltd</t>
        </is>
      </c>
      <c r="B1828" s="6" t="inlineStr">
        <is>
          <t>Hua Nan Commercial Bank, Ltd.</t>
        </is>
      </c>
      <c r="C1828" s="6" t="inlineStr">
        <is>
          <t>华南商业银行</t>
        </is>
      </c>
      <c r="D1828" s="6" t="inlineStr">
        <is>
          <t>華南商業銀行</t>
        </is>
      </c>
    </row>
    <row r="1829" ht="27.6" customFormat="1" customHeight="1" s="11">
      <c r="A1829" s="6" t="inlineStr">
        <is>
          <t>Ngân hàng Mega International Commercial Bank Co., Ltd</t>
        </is>
      </c>
      <c r="B1829" s="6" t="inlineStr">
        <is>
          <t>Mega International Commercial Bank Co., Ltd</t>
        </is>
      </c>
      <c r="C1829" s="6" t="inlineStr">
        <is>
          <t>兆丰国际商业银行</t>
        </is>
      </c>
      <c r="D1829" s="6" t="inlineStr">
        <is>
          <t>兆豐國際商業銀行</t>
        </is>
      </c>
    </row>
    <row r="1830" ht="27.6" customFormat="1" customHeight="1" s="11">
      <c r="A1830" s="6" t="inlineStr">
        <is>
          <t>Ngân hàng Nông nghiệp và Phát triển Nông thôn Việt Nam</t>
        </is>
      </c>
      <c r="B1830" s="6" t="inlineStr">
        <is>
          <t>Vietnam Bank for Agriculture and Rural Development</t>
        </is>
      </c>
      <c r="C1830" s="6" t="inlineStr">
        <is>
          <t>越南农业与农村发展银行</t>
        </is>
      </c>
      <c r="D1830" s="6" t="inlineStr">
        <is>
          <t>越南農業與農村發展銀行</t>
        </is>
      </c>
    </row>
    <row r="1831" ht="27.6" customFormat="1" customHeight="1" s="11">
      <c r="A1831" s="6" t="inlineStr">
        <is>
          <t>Ngân hàng Thương mại cổ phần Sài Gòn Thương Tín</t>
        </is>
      </c>
      <c r="B1831" s="6" t="inlineStr">
        <is>
          <t>Saigon Thuong Tin Commercial Joint Stock Bank</t>
        </is>
      </c>
      <c r="C1831" s="6" t="inlineStr">
        <is>
          <t>西贡商信股份商业银行</t>
        </is>
      </c>
      <c r="D1831" s="6" t="inlineStr">
        <is>
          <t>西貢商信股份商業銀行</t>
        </is>
      </c>
    </row>
    <row r="1832" ht="27.6" customFormat="1" customHeight="1" s="11">
      <c r="A1832" s="6" t="inlineStr">
        <is>
          <t>Ngân hàng Thương mại Taipei Fubon</t>
        </is>
      </c>
      <c r="B1832" s="6" t="inlineStr">
        <is>
          <t>Taipei Fubon Commercial Bank Co., Ltd</t>
        </is>
      </c>
      <c r="C1832" s="6" t="inlineStr">
        <is>
          <t>台北富邦商业银行</t>
        </is>
      </c>
      <c r="D1832" s="6" t="inlineStr">
        <is>
          <t>臺北富邦商業銀行</t>
        </is>
      </c>
    </row>
    <row r="1833" customFormat="1" s="11">
      <c r="A1833" s="6" t="inlineStr">
        <is>
          <t>Ngân hàng TNHH Indovina</t>
        </is>
      </c>
      <c r="B1833" s="6" t="inlineStr">
        <is>
          <t>Indovina Bank Limited</t>
        </is>
      </c>
      <c r="C1833" s="6" t="inlineStr">
        <is>
          <t>世越有限责任银行</t>
        </is>
      </c>
      <c r="D1833" s="6" t="inlineStr">
        <is>
          <t>世越有限責任銀行</t>
        </is>
      </c>
    </row>
    <row r="1834" ht="27.6" customFormat="1" customHeight="1" s="11">
      <c r="A1834" s="6" t="inlineStr">
        <is>
          <t>Ngân hàng TNHH MTV Standard Chartered (Việt Nam)</t>
        </is>
      </c>
      <c r="B1834" s="6" t="inlineStr">
        <is>
          <t>Standard Chartered Bank (Vietnam) Limited</t>
        </is>
      </c>
      <c r="C1834" s="6" t="inlineStr">
        <is>
          <t>渣打（越南）有限责任银行</t>
        </is>
      </c>
      <c r="D1834" s="6" t="inlineStr">
        <is>
          <t>渣打（越南）有限責任銀行</t>
        </is>
      </c>
    </row>
    <row r="1835" customFormat="1" s="11">
      <c r="A1835" s="6" t="inlineStr">
        <is>
          <t>Nhận đặt cọc cho thuê xưởng</t>
        </is>
      </c>
      <c r="B1835" s="6" t="inlineStr">
        <is>
          <t>Factory lease deposit received</t>
        </is>
      </c>
      <c r="C1835" s="6" t="inlineStr">
        <is>
          <t>出租厂房押金</t>
        </is>
      </c>
      <c r="D1835" s="6" t="inlineStr">
        <is>
          <t>出租廠房押金</t>
        </is>
      </c>
    </row>
    <row r="1836" customFormat="1" s="11">
      <c r="A1836" s="6" t="inlineStr">
        <is>
          <t>Nhận đặt cọc ngắn hạn</t>
        </is>
      </c>
      <c r="B1836" s="6" t="inlineStr">
        <is>
          <t>Short-term deposits received</t>
        </is>
      </c>
      <c r="C1836" s="6" t="inlineStr">
        <is>
          <t>其他存入保证金</t>
        </is>
      </c>
      <c r="D1836" s="6" t="inlineStr">
        <is>
          <t>其他存入保證金</t>
        </is>
      </c>
    </row>
    <row r="1837" ht="27.6" customFormat="1" customHeight="1" s="11">
      <c r="A1837" s="6" t="inlineStr">
        <is>
          <t>Nhận ký quỹ, ký cược dài hạn</t>
        </is>
      </c>
      <c r="B1837" s="6" t="inlineStr">
        <is>
          <t>Long-term deposits and mortgages received</t>
        </is>
      </c>
      <c r="C1837" s="6" t="inlineStr">
        <is>
          <t>长期存入保证金</t>
        </is>
      </c>
      <c r="D1837" s="6" t="inlineStr">
        <is>
          <t>長期存入保證金</t>
        </is>
      </c>
    </row>
    <row r="1838" customFormat="1" s="11">
      <c r="A1838" s="6" t="inlineStr">
        <is>
          <t>Nhân viên tạm ứng</t>
        </is>
      </c>
      <c r="B1838" s="6" t="inlineStr">
        <is>
          <t>Advances to employees</t>
        </is>
      </c>
      <c r="C1838" s="6" t="inlineStr">
        <is>
          <t>职工暂借款</t>
        </is>
      </c>
      <c r="D1838" s="6" t="inlineStr">
        <is>
          <t>職工暫借款</t>
        </is>
      </c>
    </row>
    <row r="1839" customFormat="1" s="11">
      <c r="A1839" s="6" t="inlineStr">
        <is>
          <t>Nhóm Công ty con</t>
        </is>
      </c>
      <c r="B1839" s="6" t="inlineStr">
        <is>
          <t>Group of subsidiaries</t>
        </is>
      </c>
      <c r="C1839" s="6" t="inlineStr">
        <is>
          <t>子公司集团</t>
        </is>
      </c>
      <c r="D1839" s="6" t="inlineStr">
        <is>
          <t>子公司集團</t>
        </is>
      </c>
    </row>
    <row r="1840" customFormat="1" s="11">
      <c r="A1840" s="6" t="inlineStr">
        <is>
          <t>Nhóm Công ty liên doanh</t>
        </is>
      </c>
      <c r="B1840" s="6" t="inlineStr">
        <is>
          <t>Group of joint ventures</t>
        </is>
      </c>
      <c r="C1840" s="6" t="inlineStr">
        <is>
          <t>合营公司集团</t>
        </is>
      </c>
      <c r="D1840" s="6" t="inlineStr">
        <is>
          <t>合營公司集團</t>
        </is>
      </c>
    </row>
    <row r="1841" customFormat="1" s="11">
      <c r="A1841" s="6" t="inlineStr">
        <is>
          <t>Nhóm Công ty liên kết</t>
        </is>
      </c>
      <c r="B1841" s="6" t="inlineStr">
        <is>
          <t>Group of associates</t>
        </is>
      </c>
      <c r="C1841" s="6" t="inlineStr">
        <is>
          <t>关联公司集团</t>
        </is>
      </c>
      <c r="D1841" s="6" t="inlineStr">
        <is>
          <t>關聯公司集團</t>
        </is>
      </c>
    </row>
    <row r="1842" ht="27.6" customFormat="1" customHeight="1" s="11">
      <c r="A1842" s="6" t="inlineStr">
        <is>
          <t>Nợ phải trả trong vòng 12 tháng:</t>
        </is>
      </c>
      <c r="B1842" s="6" t="inlineStr">
        <is>
          <t>Amount due for settlement within 12 months:</t>
        </is>
      </c>
      <c r="C1842" s="6" t="inlineStr">
        <is>
          <t>12个月内应付债款：</t>
        </is>
      </c>
      <c r="D1842" s="6" t="inlineStr">
        <is>
          <t>12個月內應付債款：</t>
        </is>
      </c>
    </row>
    <row r="1843" customFormat="1" s="11">
      <c r="A1843" s="6" t="inlineStr">
        <is>
          <t>Nợ phải trả/Tổng nguồn vốn</t>
        </is>
      </c>
      <c r="B1843" s="6" t="inlineStr">
        <is>
          <t>Liabilities/Total resources</t>
        </is>
      </c>
      <c r="C1843" s="6" t="inlineStr">
        <is>
          <t>负债/总资本</t>
        </is>
      </c>
      <c r="D1843" s="6" t="inlineStr">
        <is>
          <t>負債/總資本</t>
        </is>
      </c>
    </row>
    <row r="1844" ht="27.6" customFormat="1" customHeight="1" s="11">
      <c r="A1844" s="6" t="inlineStr">
        <is>
          <t>Phải thu khác - Bên thứ ba</t>
        </is>
      </c>
      <c r="B1844" s="6" t="inlineStr">
        <is>
          <t>Other receivables - Third parties</t>
        </is>
      </c>
      <c r="C1844" s="6" t="inlineStr">
        <is>
          <t>其他应收款 - 第三方</t>
        </is>
      </c>
      <c r="D1844" s="6" t="inlineStr">
        <is>
          <t>其他應收款 - 第三方</t>
        </is>
      </c>
    </row>
    <row r="1845" customFormat="1" s="11">
      <c r="A1845" s="6" t="inlineStr">
        <is>
          <t>Phân loại trong năm</t>
        </is>
      </c>
      <c r="B1845" s="6" t="inlineStr">
        <is>
          <t>Classification in the year</t>
        </is>
      </c>
      <c r="C1845" s="6" t="inlineStr">
        <is>
          <t>年度内重分类</t>
        </is>
      </c>
      <c r="D1845" s="6" t="inlineStr">
        <is>
          <t>年度內重分類</t>
        </is>
      </c>
    </row>
    <row r="1846" customFormat="1" s="11">
      <c r="A1846" s="6" t="inlineStr">
        <is>
          <t>Phần mềm vi tính</t>
        </is>
      </c>
      <c r="B1846" s="6" t="inlineStr">
        <is>
          <t>Computer software</t>
        </is>
      </c>
      <c r="C1846" s="6" t="inlineStr">
        <is>
          <t>计算机软件</t>
        </is>
      </c>
      <c r="D1846" s="6" t="inlineStr">
        <is>
          <t>電腦軟體</t>
        </is>
      </c>
    </row>
    <row r="1847" customFormat="1" s="11">
      <c r="A1847" s="6" t="inlineStr">
        <is>
          <t>Phụ lục gia hạn</t>
        </is>
      </c>
      <c r="B1847" s="6" t="inlineStr">
        <is>
          <t>Extension addendum</t>
        </is>
      </c>
      <c r="C1847" s="6" t="inlineStr">
        <is>
          <t>延期附件（协议）</t>
        </is>
      </c>
      <c r="D1847" s="6" t="inlineStr">
        <is>
          <t>延期附件（協定）</t>
        </is>
      </c>
    </row>
    <row r="1848" customFormat="1" s="11">
      <c r="A1848" s="6" t="inlineStr">
        <is>
          <t>Phương tiện vận tải</t>
        </is>
      </c>
      <c r="B1848" s="6" t="inlineStr">
        <is>
          <t>Means of transport</t>
        </is>
      </c>
      <c r="C1848" s="6" t="inlineStr">
        <is>
          <t>运输工具</t>
        </is>
      </c>
      <c r="D1848" s="6" t="inlineStr">
        <is>
          <t>運輸工具</t>
        </is>
      </c>
    </row>
    <row r="1849" ht="27.6" customFormat="1" customHeight="1" s="11">
      <c r="A1849" s="6" t="inlineStr">
        <is>
          <t>Quyền sử dụng đất và tài sản gắn liền với đất</t>
        </is>
      </c>
      <c r="B1849" s="6" t="inlineStr">
        <is>
          <t>Land use right and assets attached to land</t>
        </is>
      </c>
      <c r="C1849" s="6" t="inlineStr">
        <is>
          <t>土地及地上附属资产使用权</t>
        </is>
      </c>
      <c r="D1849" s="6" t="inlineStr">
        <is>
          <t>土地及地上附屬資產使用權</t>
        </is>
      </c>
    </row>
    <row r="1850" customFormat="1" s="11">
      <c r="A1850" s="6" t="inlineStr">
        <is>
          <t>Số dư cuối kỳ (JPY)</t>
        </is>
      </c>
      <c r="B1850" s="6" t="inlineStr">
        <is>
          <t>Closing balance (JPY)</t>
        </is>
      </c>
      <c r="C1850" s="6" t="inlineStr">
        <is>
          <t>期末余额（日元）</t>
        </is>
      </c>
      <c r="D1850" s="6" t="inlineStr">
        <is>
          <t>期末餘額（日元）</t>
        </is>
      </c>
    </row>
    <row r="1851" customFormat="1" s="11">
      <c r="A1851" s="6" t="inlineStr">
        <is>
          <t>Số dư cuối năm (VND)</t>
        </is>
      </c>
      <c r="B1851" s="6" t="inlineStr">
        <is>
          <t>Closing balance (VND)</t>
        </is>
      </c>
      <c r="C1851" s="6" t="inlineStr">
        <is>
          <t>年末余额（越南盾）</t>
        </is>
      </c>
      <c r="D1851" s="6" t="inlineStr">
        <is>
          <t>年末餘額（越南盾）</t>
        </is>
      </c>
    </row>
    <row r="1852" ht="27.6" customFormat="1" customHeight="1" s="11">
      <c r="A1852" s="6" t="inlineStr">
        <is>
          <t>Số lượng cổ phần đang lưu hành (Cổ phần):</t>
        </is>
      </c>
      <c r="B1852" s="6" t="inlineStr">
        <is>
          <t>Number of shares in circulation (Shares):</t>
        </is>
      </c>
      <c r="C1852" s="6" t="inlineStr">
        <is>
          <t>流通股数量（股）：</t>
        </is>
      </c>
      <c r="D1852" s="6" t="inlineStr">
        <is>
          <t>流通股數量（股）：</t>
        </is>
      </c>
    </row>
    <row r="1853" customFormat="1" s="11">
      <c r="A1853" s="6" t="inlineStr">
        <is>
          <t>Tài sản dài hạn/Tổng tài sản</t>
        </is>
      </c>
      <c r="B1853" s="6" t="inlineStr">
        <is>
          <t>Non-current assets/Total assets</t>
        </is>
      </c>
      <c r="C1853" s="6" t="inlineStr">
        <is>
          <t>长期资产/总资产</t>
        </is>
      </c>
      <c r="D1853" s="6" t="inlineStr">
        <is>
          <t>長期資產/總資產</t>
        </is>
      </c>
    </row>
    <row r="1854" customFormat="1" s="11">
      <c r="A1854" s="6" t="inlineStr">
        <is>
          <t>Tài sản ngắn hạn/Tổng tài sản</t>
        </is>
      </c>
      <c r="B1854" s="6" t="inlineStr">
        <is>
          <t>Current assets/Total assets</t>
        </is>
      </c>
      <c r="C1854" s="6" t="inlineStr">
        <is>
          <t>短期资产/总资产</t>
        </is>
      </c>
      <c r="D1854" s="6" t="inlineStr">
        <is>
          <t>短期資產/總資產</t>
        </is>
      </c>
    </row>
    <row r="1855" customFormat="1" s="11">
      <c r="A1855" s="6" t="inlineStr">
        <is>
          <t>Tăng vốn góp trong năm trước</t>
        </is>
      </c>
      <c r="B1855" s="6" t="inlineStr">
        <is>
          <t>Capital increased in prior year</t>
        </is>
      </c>
      <c r="C1855" s="6" t="inlineStr">
        <is>
          <t>上年度的追加资本</t>
        </is>
      </c>
      <c r="D1855" s="6" t="inlineStr">
        <is>
          <t>上年度的追加資本</t>
        </is>
      </c>
    </row>
    <row r="1856" customFormat="1" s="11">
      <c r="A1856" s="6" t="inlineStr">
        <is>
          <t>Thanh lý trong năm</t>
        </is>
      </c>
      <c r="B1856" s="6" t="inlineStr">
        <is>
          <t>Disposal</t>
        </is>
      </c>
      <c r="C1856" s="6" t="inlineStr">
        <is>
          <t>年度内处置</t>
        </is>
      </c>
      <c r="D1856" s="6" t="inlineStr">
        <is>
          <t>年度內處置</t>
        </is>
      </c>
    </row>
    <row r="1857" ht="27.6" customFormat="1" customHeight="1" s="11">
      <c r="A1857" s="6" t="inlineStr">
        <is>
          <t>Thành viên kiêm Tổng Giám đốc</t>
        </is>
      </c>
      <c r="B1857" s="6" t="inlineStr">
        <is>
          <t>Member cum General Director</t>
        </is>
      </c>
      <c r="C1857" s="6" t="inlineStr">
        <is>
          <t>董事兼总经理</t>
        </is>
      </c>
      <c r="D1857" s="6" t="inlineStr">
        <is>
          <t>董事兼總經理</t>
        </is>
      </c>
    </row>
    <row r="1858" ht="27.6" customFormat="1" customHeight="1" s="11">
      <c r="A1858" s="6" t="inlineStr">
        <is>
          <t>Theo giấy chứng nhậnđăng ký doanh nghiệp</t>
        </is>
      </c>
      <c r="B1858" s="6" t="inlineStr">
        <is>
          <t>Per enterprise registration certificate</t>
        </is>
      </c>
      <c r="C1858" s="6" t="inlineStr">
        <is>
          <t>根据企业登记证书</t>
        </is>
      </c>
      <c r="D1858" s="6" t="inlineStr">
        <is>
          <t>根據企業登記證書</t>
        </is>
      </c>
    </row>
    <row r="1859" customFormat="1" s="11">
      <c r="A1859" s="6" t="inlineStr">
        <is>
          <t>Theo từng khoản giải ngân</t>
        </is>
      </c>
      <c r="B1859" s="6" t="inlineStr">
        <is>
          <t>As per disbursement</t>
        </is>
      </c>
      <c r="C1859" s="6" t="inlineStr">
        <is>
          <t>按放款时点利率</t>
        </is>
      </c>
      <c r="D1859" s="6" t="inlineStr">
        <is>
          <t>按放款時點利率</t>
        </is>
      </c>
    </row>
    <row r="1860" customFormat="1" s="11">
      <c r="A1860" s="6" t="inlineStr">
        <is>
          <t>Thiết bị dụng cụ quản lý</t>
        </is>
      </c>
      <c r="B1860" s="6" t="inlineStr">
        <is>
          <t>Management tools and supplies</t>
        </is>
      </c>
      <c r="C1860" s="6" t="inlineStr">
        <is>
          <t>管理设备工具</t>
        </is>
      </c>
      <c r="D1860" s="6" t="inlineStr">
        <is>
          <t>管理設備工具</t>
        </is>
      </c>
    </row>
    <row r="1861" customFormat="1" s="11">
      <c r="A1861" s="6" t="inlineStr">
        <is>
          <t>Thiết bị máy tính</t>
        </is>
      </c>
      <c r="B1861" s="6" t="inlineStr">
        <is>
          <t>Computer equipment</t>
        </is>
      </c>
      <c r="C1861" s="6" t="inlineStr">
        <is>
          <t>计算机设备</t>
        </is>
      </c>
      <c r="D1861" s="6" t="inlineStr">
        <is>
          <t>電腦設備</t>
        </is>
      </c>
    </row>
    <row r="1862" ht="27.6" customFormat="1" customHeight="1" s="11">
      <c r="A1862" s="6" t="inlineStr">
        <is>
          <t>Thời hạn duy trì hạn mức</t>
        </is>
      </c>
      <c r="B1862" s="6" t="inlineStr">
        <is>
          <t>Validity period of the credit limit</t>
        </is>
      </c>
      <c r="C1862" s="6" t="inlineStr">
        <is>
          <t>维持限额期限</t>
        </is>
      </c>
      <c r="D1862" s="6" t="inlineStr">
        <is>
          <t>維持限額期限</t>
        </is>
      </c>
    </row>
    <row r="1863" customFormat="1" s="11">
      <c r="A1863" s="6" t="inlineStr">
        <is>
          <t>Thu lãi cho vay</t>
        </is>
      </c>
      <c r="B1863" s="6" t="inlineStr">
        <is>
          <t>Receipts of loan interest</t>
        </is>
      </c>
      <c r="C1863" s="6" t="inlineStr">
        <is>
          <t>收取放贷（出借款）利息</t>
        </is>
      </c>
      <c r="D1863" s="6" t="inlineStr">
        <is>
          <t>收取放貸（出借款）利息</t>
        </is>
      </c>
    </row>
    <row r="1864" customFormat="1" s="11">
      <c r="A1864" s="6" t="inlineStr">
        <is>
          <t>Thu lại tiền cho vay</t>
        </is>
      </c>
      <c r="B1864" s="6" t="inlineStr">
        <is>
          <t>Loan repayment received</t>
        </is>
      </c>
      <c r="C1864" s="6" t="inlineStr">
        <is>
          <t>收回出借款</t>
        </is>
      </c>
      <c r="D1864" s="6" t="inlineStr">
        <is>
          <t>收回出借款</t>
        </is>
      </c>
    </row>
    <row r="1865" ht="27.6" customFormat="1" customHeight="1" s="11">
      <c r="A1865" s="6" t="inlineStr">
        <is>
          <t>Thu nhập từ bán tài sản</t>
        </is>
      </c>
      <c r="B1865" s="6" t="inlineStr">
        <is>
          <t>Proceeds from disposal of fixed assets</t>
        </is>
      </c>
      <c r="C1865" s="6" t="inlineStr">
        <is>
          <t>出售资产收入</t>
        </is>
      </c>
      <c r="D1865" s="6" t="inlineStr">
        <is>
          <t>出售資產收入</t>
        </is>
      </c>
    </row>
    <row r="1866" ht="41.4" customFormat="1" customHeight="1" s="11">
      <c r="A1866" s="6" t="inlineStr">
        <is>
          <t>Thu nhập từ hoạt động sản xuất kinh doanh không được ưu đãi thuế</t>
        </is>
      </c>
      <c r="B1866" s="6" t="inlineStr">
        <is>
          <t>Income from business and production activities not eligible for tax incentives</t>
        </is>
      </c>
      <c r="C1866" s="6" t="inlineStr">
        <is>
          <t>不适用税收优惠的生产经营活动所得</t>
        </is>
      </c>
      <c r="D1866" s="6" t="inlineStr">
        <is>
          <t>不適用稅收優惠的生產經營活動所得</t>
        </is>
      </c>
    </row>
    <row r="1867" customFormat="1" s="11">
      <c r="A1867" s="6" t="inlineStr">
        <is>
          <t>Thuế nhập khẩu tạm nộp</t>
        </is>
      </c>
      <c r="B1867" s="6" t="inlineStr">
        <is>
          <t>Provisional import duty</t>
        </is>
      </c>
      <c r="C1867" s="6" t="inlineStr">
        <is>
          <t>暂缴进口关税</t>
        </is>
      </c>
      <c r="D1867" s="6" t="inlineStr">
        <is>
          <t>暫繳進口關稅</t>
        </is>
      </c>
    </row>
    <row r="1868" customFormat="1" s="11">
      <c r="A1868" s="6" t="inlineStr">
        <is>
          <t>Thuế tài nguyên</t>
        </is>
      </c>
      <c r="B1868" s="6" t="inlineStr">
        <is>
          <t>Resource tax</t>
        </is>
      </c>
      <c r="C1868" s="6" t="inlineStr">
        <is>
          <t>资源税</t>
        </is>
      </c>
      <c r="D1868" s="6" t="inlineStr">
        <is>
          <t>資源稅</t>
        </is>
      </c>
    </row>
    <row r="1869" ht="69" customFormat="1" customHeight="1" s="11">
      <c r="A1869" s="6" t="inlineStr">
        <is>
          <t>Thuế thu nhập doanh nghiệp phải nộp ước tính từ thu nhập từ hoạt động sản xuất kinh doanh không được ưu đãi thuế</t>
        </is>
      </c>
      <c r="B1869" s="6" t="inlineStr">
        <is>
          <t>Estimated corporate income tax payable on income from production and business activities not eligible for tax incentives</t>
        </is>
      </c>
      <c r="C1869" s="6" t="inlineStr">
        <is>
          <t>來自不适用税收优惠的生产经营活动所得的预估应缴企业所得税</t>
        </is>
      </c>
      <c r="D1869" s="6" t="inlineStr">
        <is>
          <t>來自不適用稅收優惠的生產經營活動所得的預估應繳企業所得稅</t>
        </is>
      </c>
    </row>
    <row r="1870" ht="27.6" customFormat="1" customHeight="1" s="11">
      <c r="A1870" s="6" t="inlineStr">
        <is>
          <t>Thuế thu nhập doanh nghiệp tối thiểu toàn cầu</t>
        </is>
      </c>
      <c r="B1870" s="6" t="inlineStr">
        <is>
          <t>Global minimum corporate income tax</t>
        </is>
      </c>
      <c r="C1870" s="6" t="inlineStr">
        <is>
          <t>全球最低企业所得税</t>
        </is>
      </c>
      <c r="D1870" s="6" t="inlineStr">
        <is>
          <t>全球最低企業所得稅</t>
        </is>
      </c>
    </row>
    <row r="1871" customFormat="1" s="11">
      <c r="A1871" s="6" t="inlineStr">
        <is>
          <t>Thuế, phí, lệ phí</t>
        </is>
      </c>
      <c r="B1871" s="6" t="inlineStr">
        <is>
          <t>Taxes, charges and fees</t>
        </is>
      </c>
      <c r="C1871" s="6" t="inlineStr">
        <is>
          <t>税费、规费和例费</t>
        </is>
      </c>
      <c r="D1871" s="6" t="inlineStr">
        <is>
          <t>稅費、規費和例費</t>
        </is>
      </c>
    </row>
    <row r="1872" customFormat="1" s="11">
      <c r="A1872" s="6" t="inlineStr">
        <is>
          <t>Tiền gửi có kỳ hạn 6 tháng</t>
        </is>
      </c>
      <c r="B1872" s="6" t="inlineStr">
        <is>
          <t>6-month term deposit</t>
        </is>
      </c>
      <c r="C1872" s="6" t="inlineStr">
        <is>
          <t>6个月定期存款</t>
        </is>
      </c>
      <c r="D1872" s="6" t="inlineStr">
        <is>
          <t>6個月定期存款</t>
        </is>
      </c>
    </row>
    <row r="1873" ht="27.6" customFormat="1" customHeight="1" s="11">
      <c r="A1873" s="6" t="inlineStr">
        <is>
          <t>Trả gốc vay</t>
        </is>
      </c>
      <c r="B1873" s="6" t="inlineStr">
        <is>
          <t>Repayment of borrowings’ principal</t>
        </is>
      </c>
      <c r="C1873" s="6" t="inlineStr">
        <is>
          <t>偿还借款本金</t>
        </is>
      </c>
      <c r="D1873" s="6" t="inlineStr">
        <is>
          <t>償還借款本金</t>
        </is>
      </c>
    </row>
    <row r="1874" customFormat="1" s="11">
      <c r="A1874" s="6" t="inlineStr">
        <is>
          <t>Trả tiền đã mượn</t>
        </is>
      </c>
      <c r="B1874" s="6" t="inlineStr">
        <is>
          <t>Repayment of borrowings</t>
        </is>
      </c>
      <c r="C1874" s="6" t="inlineStr">
        <is>
          <t>归还借用款</t>
        </is>
      </c>
      <c r="D1874" s="6" t="inlineStr">
        <is>
          <t>歸還借用款</t>
        </is>
      </c>
    </row>
    <row r="1875" customFormat="1" s="11">
      <c r="A1875" s="6" t="inlineStr">
        <is>
          <t>Trích phí kiểm toán</t>
        </is>
      </c>
      <c r="B1875" s="6" t="inlineStr">
        <is>
          <t>Accrual for audit fees</t>
        </is>
      </c>
      <c r="C1875" s="6" t="inlineStr">
        <is>
          <t>预提审计费</t>
        </is>
      </c>
      <c r="D1875" s="6" t="inlineStr">
        <is>
          <t>預提審計費</t>
        </is>
      </c>
    </row>
    <row r="1876" ht="27.6" customFormat="1" customHeight="1" s="11">
      <c r="A1876" s="6" t="inlineStr">
        <is>
          <t>Trích trước chi phí chưa có hóa đơn</t>
        </is>
      </c>
      <c r="B1876" s="6" t="inlineStr">
        <is>
          <t>Accrued expenses without invoices</t>
        </is>
      </c>
      <c r="C1876" s="6" t="inlineStr">
        <is>
          <t>预提无发票费用</t>
        </is>
      </c>
      <c r="D1876" s="6" t="inlineStr">
        <is>
          <t>預提無發票費用</t>
        </is>
      </c>
    </row>
    <row r="1877" customFormat="1" s="11">
      <c r="A1877" s="6" t="inlineStr">
        <is>
          <t>Trích trước chi phí khác</t>
        </is>
      </c>
      <c r="B1877" s="6" t="inlineStr">
        <is>
          <t>Accrual for other expenses</t>
        </is>
      </c>
      <c r="C1877" s="6" t="inlineStr">
        <is>
          <t>预提其他费用</t>
        </is>
      </c>
      <c r="D1877" s="6" t="inlineStr">
        <is>
          <t>預提其他費用</t>
        </is>
      </c>
    </row>
    <row r="1878" ht="27.6" customFormat="1" customHeight="1" s="11">
      <c r="A1878" s="6" t="inlineStr">
        <is>
          <t>Trích trước chi phí lương thưởng</t>
        </is>
      </c>
      <c r="B1878" s="6" t="inlineStr">
        <is>
          <t>Accrual for salary and bonus expenses</t>
        </is>
      </c>
      <c r="C1878" s="6" t="inlineStr">
        <is>
          <t>预提工资奖金</t>
        </is>
      </c>
      <c r="D1878" s="6" t="inlineStr">
        <is>
          <t>預提工資獎金</t>
        </is>
      </c>
    </row>
    <row r="1879" customFormat="1" s="11">
      <c r="A1879" s="6" t="inlineStr">
        <is>
          <t>Trích trước chi phí tiền điện</t>
        </is>
      </c>
      <c r="B1879" s="6" t="inlineStr">
        <is>
          <t>Accrual for electricity expenses</t>
        </is>
      </c>
      <c r="C1879" s="6" t="inlineStr">
        <is>
          <t>预提电费支出</t>
        </is>
      </c>
      <c r="D1879" s="6" t="inlineStr">
        <is>
          <t>預提電費支出</t>
        </is>
      </c>
    </row>
    <row r="1880" ht="27.6" customFormat="1" customHeight="1" s="11">
      <c r="A1880" s="6" t="inlineStr">
        <is>
          <t>Trích trước chi phí tiền lương tháng 13</t>
        </is>
      </c>
      <c r="B1880" s="6" t="inlineStr">
        <is>
          <t>Accrual for 13th-month salary expenses</t>
        </is>
      </c>
      <c r="C1880" s="6" t="inlineStr">
        <is>
          <t>预提职工十三薪费用</t>
        </is>
      </c>
      <c r="D1880" s="6" t="inlineStr">
        <is>
          <t>預提職工十三薪費用</t>
        </is>
      </c>
    </row>
    <row r="1881" customFormat="1" s="11">
      <c r="A1881" s="6" t="inlineStr">
        <is>
          <t>Trích trước tiền điện</t>
        </is>
      </c>
      <c r="B1881" s="6" t="inlineStr">
        <is>
          <t>Accrual for electricity expenses</t>
        </is>
      </c>
      <c r="C1881" s="6" t="inlineStr">
        <is>
          <t>预提电费</t>
        </is>
      </c>
      <c r="D1881" s="6" t="inlineStr">
        <is>
          <t>預提電費</t>
        </is>
      </c>
    </row>
    <row r="1882" ht="27.6" customFormat="1" customHeight="1" s="11">
      <c r="A1882" s="6" t="inlineStr">
        <is>
          <t>Trừ nợ phải trả trong vòng 12 tháng:</t>
        </is>
      </c>
      <c r="B1882" s="6" t="inlineStr">
        <is>
          <t>Amount due for settlement within 12 months</t>
        </is>
      </c>
      <c r="C1882" s="6" t="inlineStr">
        <is>
          <t>减：12个月内到期的应付债款</t>
        </is>
      </c>
      <c r="D1882" s="6" t="inlineStr">
        <is>
          <t>減：12個月內到期的應付債款</t>
        </is>
      </c>
    </row>
    <row r="1883" ht="27.6" customFormat="1" customHeight="1" s="11">
      <c r="A1883" s="6" t="inlineStr">
        <is>
          <t>Trừ: Nợ dài hạn đến hạn trả</t>
        </is>
      </c>
      <c r="B1883" s="6" t="inlineStr">
        <is>
          <t>Less: Current portion of long-term liabilities</t>
        </is>
      </c>
      <c r="C1883" s="6" t="inlineStr">
        <is>
          <t>减：到期长期债务</t>
        </is>
      </c>
      <c r="D1883" s="6" t="inlineStr">
        <is>
          <t>減：到期長期債務</t>
        </is>
      </c>
    </row>
    <row r="1884" ht="41.4" customFormat="1" customHeight="1" s="11">
      <c r="A1884" s="6" t="inlineStr">
        <is>
          <t>Trừ: Nợ phải trả trong vòng 12 tháng, trong đó:</t>
        </is>
      </c>
      <c r="B1884" s="6" t="inlineStr">
        <is>
          <t>Less: Amount due for settlement within 12 months, including:</t>
        </is>
      </c>
      <c r="C1884" s="6" t="inlineStr">
        <is>
          <t>减：12个月内到期的应付债款，其中：</t>
        </is>
      </c>
      <c r="D1884" s="6" t="inlineStr">
        <is>
          <t>減：12個月內到期的應付債款，其中：</t>
        </is>
      </c>
    </row>
    <row r="1885" ht="27.6" customFormat="1" customHeight="1" s="11">
      <c r="A1885" s="6" t="inlineStr">
        <is>
          <t>TUQ. Chủ tịch Hội đồng Thành viên</t>
        </is>
      </c>
      <c r="B1885" s="6" t="inlineStr">
        <is>
          <t>For and on behalf of Chairman of the Board of Members</t>
        </is>
      </c>
      <c r="C1885" s="6" t="inlineStr">
        <is>
          <t>董事长授权人</t>
        </is>
      </c>
      <c r="D1885" s="6" t="inlineStr">
        <is>
          <t>董事長授權人</t>
        </is>
      </c>
    </row>
    <row r="1886" customFormat="1" s="11">
      <c r="A1886" s="6" t="inlineStr">
        <is>
          <t>Tỷ lệ vốn góp</t>
        </is>
      </c>
      <c r="B1886" s="6" t="inlineStr">
        <is>
          <t>Percentage of interest</t>
        </is>
      </c>
      <c r="C1886" s="6" t="inlineStr">
        <is>
          <t>出资比例</t>
        </is>
      </c>
      <c r="D1886" s="6" t="inlineStr">
        <is>
          <t>出資比例</t>
        </is>
      </c>
    </row>
    <row r="1887" customFormat="1" s="11">
      <c r="A1887" s="6" t="inlineStr">
        <is>
          <t>Xây dựng cơ bản</t>
        </is>
      </c>
      <c r="B1887" s="6" t="inlineStr">
        <is>
          <t>Basic construction</t>
        </is>
      </c>
      <c r="C1887" s="6" t="inlineStr">
        <is>
          <t>基建工程</t>
        </is>
      </c>
      <c r="D1887" s="6" t="inlineStr">
        <is>
          <t>基建工程</t>
        </is>
      </c>
    </row>
    <row r="1888" customFormat="1" s="11">
      <c r="A1888" s="6" t="inlineStr">
        <is>
          <t>Xây dựng cơ bản dở dang</t>
        </is>
      </c>
      <c r="B1888" s="6" t="inlineStr">
        <is>
          <t>Construction in progress</t>
        </is>
      </c>
      <c r="C1888" s="6" t="inlineStr">
        <is>
          <t>在建工程</t>
        </is>
      </c>
      <c r="D1888" s="6" t="inlineStr">
        <is>
          <t>在建工程</t>
        </is>
      </c>
    </row>
    <row r="1889" customFormat="1" s="11">
      <c r="A1889" s="6" t="inlineStr">
        <is>
          <t>Xử lý công nợ phải thu khó đòi</t>
        </is>
      </c>
      <c r="B1889" s="6" t="inlineStr">
        <is>
          <t>Settlement of doubtful debts</t>
        </is>
      </c>
      <c r="C1889" s="6" t="inlineStr">
        <is>
          <t>应收账款坏账处理</t>
        </is>
      </c>
      <c r="D1889" s="6" t="inlineStr">
        <is>
          <t>應收賬款壞賬處理</t>
        </is>
      </c>
    </row>
    <row r="1890" ht="41.4" customFormat="1" customHeight="1" s="11">
      <c r="A1890" s="6" t="inlineStr">
        <is>
          <t>, đã điều hành Công ty trong suốt giai đoạn và đến ngày lập báo cáo.</t>
        </is>
      </c>
      <c r="B1890" s="6" t="inlineStr">
        <is>
          <t>, has held business during the period and at the date of this report.</t>
        </is>
      </c>
      <c r="C1890" s="6" t="inlineStr">
        <is>
          <t>，已经负责维持公司整期间截至编制报表当日的运作。</t>
        </is>
      </c>
      <c r="D1890" s="6" t="inlineStr">
        <is>
          <t>，業已負責維持公司整期間截至編製報表當日之運作。</t>
        </is>
      </c>
    </row>
    <row r="1891" ht="69" customFormat="1" customHeight="1" s="11">
      <c r="A1891" s="6" t="inlineStr">
        <is>
          <t>Ban Giám đốc Công ty đã điều hành Công ty trong suốt giai đoạn và đến ngày lập báo cáo gồm:</t>
        </is>
      </c>
      <c r="B1891" s="6" t="inlineStr">
        <is>
          <t>The Board of Management of the Company who have held business during the period and at the date of this report are as follows:</t>
        </is>
      </c>
      <c r="C1891" s="6" t="inlineStr">
        <is>
          <t>公司管理阶层，已经负责维持公司整期间截至编制报表当日的运作，详细如下：</t>
        </is>
      </c>
      <c r="D1891" s="6" t="inlineStr">
        <is>
          <t>公司管理階層，業已負責維持公司整期間截至編製報表當日之運作，詳細如下：</t>
        </is>
      </c>
    </row>
    <row r="1892" ht="69" customFormat="1" customHeight="1" s="11">
      <c r="A1892" s="6" t="inlineStr">
        <is>
          <t>Ban Tổng Giám đốc Công ty đã điều hành Công ty trong suốt giai đoạn và đến ngày lập báo cáo gồm:</t>
        </is>
      </c>
      <c r="B1892" s="6" t="inlineStr">
        <is>
          <t>The Board of General Directors of the Company who have held business during the period and at the date of this report are as follows:</t>
        </is>
      </c>
      <c r="C1892" s="6" t="inlineStr">
        <is>
          <t>公司管理阶层，已经负责维持公司整期间截至编制报表当日的运作，详细如下：</t>
        </is>
      </c>
      <c r="D1892" s="6" t="inlineStr">
        <is>
          <t>公司管理階層，業已負責維持公司整期間截至編製報表當日之運作，詳細如下：</t>
        </is>
      </c>
    </row>
    <row r="1893" ht="69" customFormat="1" customHeight="1" s="11">
      <c r="A1893" s="6" t="inlineStr">
        <is>
          <t>Các thành viên Ban Giám đốc Công ty đã điều hành Công ty trong suốt giai đoạn và đến ngày lập báo cáo gồm:</t>
        </is>
      </c>
      <c r="B1893" s="6" t="inlineStr">
        <is>
          <t>The members of the Board of Management of the Company who have held business during the period and at the date of this report are as follows:</t>
        </is>
      </c>
      <c r="C1893" s="6" t="inlineStr">
        <is>
          <t>公司管理阶层，已经负责维持公司整期间截至编制报表当日的运作，详细如下：</t>
        </is>
      </c>
      <c r="D1893" s="6" t="inlineStr">
        <is>
          <t>公司管理階層，業已負責維持公司整期間截至編製報表當日之運作，詳細如下：</t>
        </is>
      </c>
    </row>
    <row r="1894" ht="82.8" customFormat="1" customHeight="1" s="11">
      <c r="A1894" s="6" t="inlineStr">
        <is>
          <t>Các thành viên Hội đồng Quản trị và Ban Giám đốc Công ty đã điều hành Công ty trong suốt giai đoạn và đến ngày lập báo cáo gồm:</t>
        </is>
      </c>
      <c r="B1894" s="6" t="inlineStr">
        <is>
          <t>The members of the Board of Directors and the Board of Management of the Company who have held business during the period and at the date of this report are as follows:</t>
        </is>
      </c>
      <c r="C1894" s="6" t="inlineStr">
        <is>
          <t>公司董事会成员和管理阶层，已经负责维持公司整期间截至编制报表当日的运作，详细如下：</t>
        </is>
      </c>
      <c r="D1894" s="6" t="inlineStr">
        <is>
          <t>公司董事會成員及管理階層，業已負責維持公司整期間截至編製報表當日之運作，詳細如下：</t>
        </is>
      </c>
    </row>
    <row r="1895" ht="96.59999999999999" customFormat="1" customHeight="1" s="11">
      <c r="A1895" s="6" t="inlineStr">
        <is>
          <t>Các thành viên Hội đồng Quản trị và Ban Tổng Giám đốc Công ty đã điều hành Công ty trong suốt giai đoạn và đến ngày lập báo cáo gồm:</t>
        </is>
      </c>
      <c r="B1895" s="6" t="inlineStr">
        <is>
          <t>The members of the Board of Directors and the Board of General Directors of the Company who have held business during the period and at the date of this report are as follows:</t>
        </is>
      </c>
      <c r="C1895" s="6" t="inlineStr">
        <is>
          <t>公司董事会成员和管理阶层，已经负责维持公司整期间截至编制报表当日的运作，详细如下：</t>
        </is>
      </c>
      <c r="D1895" s="6" t="inlineStr">
        <is>
          <t>公司董事會成員及管理階層，業已負責維持公司整期間截至編製報表當日之運作，詳細如下：</t>
        </is>
      </c>
    </row>
    <row r="1896" ht="82.8" customFormat="1" customHeight="1" s="11">
      <c r="A1896" s="6" t="inlineStr">
        <is>
          <t>Các thành viên Hội đồng Quản trị và Giám đốc Công ty đã điều hành Công ty trong suốt giai đoạn và đến ngày lập báo cáo gồm:</t>
        </is>
      </c>
      <c r="B1896" s="6" t="inlineStr">
        <is>
          <t>The members of the Board of Directors and Director of the Company who have held business during the period and at the date of this report are as follows:</t>
        </is>
      </c>
      <c r="C1896" s="6" t="inlineStr">
        <is>
          <t>公司董事会成员和经理，已经负责维持公司整期间截至编制报表当日的运作，详细如下：</t>
        </is>
      </c>
      <c r="D1896" s="6" t="inlineStr">
        <is>
          <t>公司董事會成員及經理，業已負責維持公司整期間截至編製報表當日之運作，詳細如下：</t>
        </is>
      </c>
    </row>
    <row r="1897" ht="96.59999999999999" customFormat="1" customHeight="1" s="11">
      <c r="A1897" s="6" t="inlineStr">
        <is>
          <t>Các thành viên Hội đồng Quản trị và Giám đốc điều hành Công ty đã điều hành Công ty trong suốt giai đoạn và đến ngày lập báo cáo gồm:</t>
        </is>
      </c>
      <c r="B1897" s="6" t="inlineStr">
        <is>
          <t>The members of the Board of Managing Directors and Managing Director of the Company who have held business during the period and at the date of this report are as follows:</t>
        </is>
      </c>
      <c r="C1897" s="6" t="inlineStr">
        <is>
          <t>公司董事会成员和执行总监，已经负责维持公司整期间截至编制报表当日的运作，详细如下：</t>
        </is>
      </c>
      <c r="D1897" s="6" t="inlineStr">
        <is>
          <t>公司董事會成員及執行總監，業已負責維持公司整期間截至編製報表當日之運作，詳細如下：</t>
        </is>
      </c>
    </row>
    <row r="1898" ht="82.8" customFormat="1" customHeight="1" s="11">
      <c r="A1898" s="6" t="inlineStr">
        <is>
          <t>Các thành viên Hội đồng Quản trị và Tổng Giám đốc Công ty đã điều hành Công ty trong suốt giai đoạn và đến ngày lập báo cáo gồm:</t>
        </is>
      </c>
      <c r="B1898" s="6" t="inlineStr">
        <is>
          <t>The members of the Board of Directors and General Director of the Company who have held business during the period and at the date of this report are as follows:</t>
        </is>
      </c>
      <c r="C1898" s="6" t="inlineStr">
        <is>
          <t>公司董事会成员和总经理，已经负责维持公司整期间截至编制报表当日的运作，详细如下：</t>
        </is>
      </c>
      <c r="D1898" s="6" t="inlineStr">
        <is>
          <t>公司董事會成員及總經理，業已負責維持公司整期間截至編製報表當日之運作，詳細如下：</t>
        </is>
      </c>
    </row>
    <row r="1899" ht="82.8" customFormat="1" customHeight="1" s="11">
      <c r="A1899" s="6" t="inlineStr">
        <is>
          <t>Các thành viên Hội đồng Thành viên và Ban Giám đốc Công ty đã điều hành Công ty trong suốt giai đoạn và đến ngày lập báo cáo gồm:</t>
        </is>
      </c>
      <c r="B1899" s="6" t="inlineStr">
        <is>
          <t>The members of the Board of Members and the Board of Management of the Company who have held business during the period and at the date of this report are as follows:</t>
        </is>
      </c>
      <c r="C1899" s="6" t="inlineStr">
        <is>
          <t>公司董事会和管理阶层，已经负责维持公司整期间截至编制报表当日的运作，详细如下：</t>
        </is>
      </c>
      <c r="D1899" s="6" t="inlineStr">
        <is>
          <t>公司董事會及管理階層，業已負責維持公司整期間截至編製報表當日之運作，詳細如下：</t>
        </is>
      </c>
    </row>
    <row r="1900" ht="96.59999999999999" customFormat="1" customHeight="1" s="11">
      <c r="A1900" s="6" t="inlineStr">
        <is>
          <t>Các thành viên Hội đồng Thành viên và Ban Tổng Giám đốc Công ty đã điều hành Công ty trong suốt giai đoạn và đến ngày lập báo cáo gồm:</t>
        </is>
      </c>
      <c r="B1900" s="6" t="inlineStr">
        <is>
          <t>The members of the Board of Members and the Board of General Directors of the Company who have held business during the period and at the date of this report are as follows:</t>
        </is>
      </c>
      <c r="C1900" s="6" t="inlineStr">
        <is>
          <t>公司董事会和管理阶层，已经负责维持公司整期间截至编制报表当日的运作，详细如下：</t>
        </is>
      </c>
      <c r="D1900" s="6" t="inlineStr">
        <is>
          <t>公司董事會及管理階層，業已負責維持公司整期間截至編製報表當日之運作，詳細如下：</t>
        </is>
      </c>
    </row>
    <row r="1901" ht="82.8" customFormat="1" customHeight="1" s="11">
      <c r="A1901" s="6" t="inlineStr">
        <is>
          <t>Các thành viên Hội đồng Thành viên và Giám đốc Công ty đã điều hành Công ty trong suốt giai đoạn và đến ngày lập báo cáo gồm:</t>
        </is>
      </c>
      <c r="B1901" s="6" t="inlineStr">
        <is>
          <t>The members of the Board of Members and Director of the Company who have held business during the period and at the date of this report are as follows:</t>
        </is>
      </c>
      <c r="C1901" s="6" t="inlineStr">
        <is>
          <t>公司董事会和经理，已经负责维持公司整期间截至编制报表当日的运作，详细如下：</t>
        </is>
      </c>
      <c r="D1901" s="6" t="inlineStr">
        <is>
          <t>公司董事會及經理，業已負責維持公司整期間截至編製報表當日之運作，詳細如下：</t>
        </is>
      </c>
    </row>
    <row r="1902" ht="82.8" customFormat="1" customHeight="1" s="11">
      <c r="A1902" s="6" t="inlineStr">
        <is>
          <t>Các thành viên Hội đồng Thành viên và Giám đốc điều hành Công ty đã điều hành Công ty trong suốt giai đoạn và đến ngày lập báo cáo gồm:</t>
        </is>
      </c>
      <c r="B1902" s="6" t="inlineStr">
        <is>
          <t>The members of the Board of Members and Managing Director of the Company who have held business during the period and at the date of this report are as follows:</t>
        </is>
      </c>
      <c r="C1902" s="6" t="inlineStr">
        <is>
          <t>公司董事会和执行总监，已经负责维持公司整期间截至编制报表当日的运作，详细如下：</t>
        </is>
      </c>
      <c r="D1902" s="6" t="inlineStr">
        <is>
          <t>公司董事會及執行總監，業已負責維持公司整期間截至編製報表當日之運作，詳細如下：</t>
        </is>
      </c>
    </row>
    <row r="1903" ht="82.8" customFormat="1" customHeight="1" s="11">
      <c r="A1903" s="6" t="inlineStr">
        <is>
          <t>Các thành viên Hội đồng Thành viên và Tổng Giám đốc Công ty đã điều hành Công ty trong suốt giai đoạn và đến ngày lập báo cáo gồm:</t>
        </is>
      </c>
      <c r="B1903" s="6" t="inlineStr">
        <is>
          <t>The members of the Board of Members and General Director of the Company who have held business during the period and at the date of this report are as follows:</t>
        </is>
      </c>
      <c r="C1903" s="6" t="inlineStr">
        <is>
          <t>公司董事会和总经理，已经负责维持公司整期间截至编制报表当日的运作，详细如下：</t>
        </is>
      </c>
      <c r="D1903" s="6" t="inlineStr">
        <is>
          <t>公司董事會及總經理，業已負責維持公司整期間截至編製報表當日之運作，詳細如下：</t>
        </is>
      </c>
    </row>
    <row r="1904" ht="69" customFormat="1" customHeight="1" s="11">
      <c r="A1904" s="6" t="inlineStr">
        <is>
          <t>Chủ tịch Công ty và Giám đốc Công ty đã điều hành Công ty trong suốt giai đoạn và đến ngày lập báo cáo gồm:</t>
        </is>
      </c>
      <c r="B1904" s="6" t="inlineStr">
        <is>
          <t>Chairman and Director of the Company who have held business during the period and at the date of this report are as follows:</t>
        </is>
      </c>
      <c r="C1904" s="6" t="inlineStr">
        <is>
          <t>公司董事长和公司经理，已经负责维持公司整期间截至编制报表当日的运作，详细如下：</t>
        </is>
      </c>
      <c r="D1904" s="6" t="inlineStr">
        <is>
          <t>公司董事長及公司經理，業已負責維持公司整期間截至編製報表當日之運作，詳細如下：</t>
        </is>
      </c>
    </row>
    <row r="1905" ht="69" customFormat="1" customHeight="1" s="11">
      <c r="A1905" s="6" t="inlineStr">
        <is>
          <t>Chủ tịch Công ty và Tổng Giám đốc Công ty đã điều hành Công ty trong suốt giai đoạn và đến ngày lập báo cáo gồm:</t>
        </is>
      </c>
      <c r="B1905" s="6" t="inlineStr">
        <is>
          <t>Chairman and General Director of the Company who have held business during the period and at the date of this report are as follows:</t>
        </is>
      </c>
      <c r="C1905" s="6" t="inlineStr">
        <is>
          <t>公司董事长和总经理，已经负责维持公司整期间截至编制报表当日的运作，详细如下：</t>
        </is>
      </c>
      <c r="D1905" s="6" t="inlineStr">
        <is>
          <t>公司董事長及總經理，業已負責維持公司整期間截至編製報表當日之運作，詳細如下：</t>
        </is>
      </c>
    </row>
    <row r="1906" ht="82.8" customFormat="1" customHeight="1" s="11">
      <c r="A1906" s="6" t="inlineStr">
        <is>
          <t>Chủ tịch Hội đồng Thành viên kiêm Tổng Giám đốc Công ty, đã điều hành Công ty trong suốt giai đoạn và đến ngày lập báo cáo.</t>
        </is>
      </c>
      <c r="B1906" s="6" t="inlineStr">
        <is>
          <t>Chairman of the Board of Members cum General Director of the Company, who has held business during the period and at the date of this report.</t>
        </is>
      </c>
      <c r="C1906" s="6" t="inlineStr">
        <is>
          <t>公司董事长兼任总经理，已经负责维持公司整期间截至编制报表当日的运作。</t>
        </is>
      </c>
      <c r="D1906" s="6" t="inlineStr">
        <is>
          <t>公司董事長兼任總經理，業已負責維持公司整期間截至編製報表當日之運作。</t>
        </is>
      </c>
    </row>
    <row r="1907" ht="69" customFormat="1" customHeight="1" s="11">
      <c r="A1907" s="6" t="inlineStr">
        <is>
          <t>Chủ tịch kiêm Giám đốc Công ty, đã điều hành Công ty trong suốt giai đoạn và đến ngày lập báo cáo.</t>
        </is>
      </c>
      <c r="B1907" s="6" t="inlineStr">
        <is>
          <t>Chairman cum General Director of the Company, who has held business during the period and at the date of this report.</t>
        </is>
      </c>
      <c r="C1907" s="6" t="inlineStr">
        <is>
          <t>公司董事长兼任经理，已经负责维持公司整期间截至编制报表当日的运作。</t>
        </is>
      </c>
      <c r="D1907" s="6" t="inlineStr">
        <is>
          <t>公司董事長兼任經理，業已負責維持公司整期間截至編製報表當日之運作。</t>
        </is>
      </c>
    </row>
    <row r="1908" ht="69" customFormat="1" customHeight="1" s="11">
      <c r="A1908" s="6" t="inlineStr">
        <is>
          <t>Chủ tịch kiêm Tổng Giám đốc Công ty, đã điều hành Công ty trong suốt giai đoạn và đến ngày lập báo cáo.</t>
        </is>
      </c>
      <c r="B1908" s="6" t="inlineStr">
        <is>
          <t>Chairman cum General Director of the Company, who has held business during the period and at the date of this report.</t>
        </is>
      </c>
      <c r="C1908" s="6" t="inlineStr">
        <is>
          <t>公司董事长兼任总经理，已经负责维持公司整期间截至编制报表当日的运作。</t>
        </is>
      </c>
      <c r="D1908" s="6" t="inlineStr">
        <is>
          <t>公司董事長兼任總經理，業已負責維持公司整期間截至編製報表當日之運作。</t>
        </is>
      </c>
    </row>
    <row r="1909" ht="69" customFormat="1" customHeight="1" s="11">
      <c r="A1909" s="6" t="inlineStr">
        <is>
          <t>Chủ tịch và Ban Giám đốc Công ty đã điều hành Công ty trong suốt giai đoạn và đến ngày lập báo cáo gồm:</t>
        </is>
      </c>
      <c r="B1909" s="6" t="inlineStr">
        <is>
          <t>Chairman and the Board of Management of the Company who have held business during the period and at the date of this report are as follows:</t>
        </is>
      </c>
      <c r="C1909" s="6" t="inlineStr">
        <is>
          <t>公司董事长及管理阶层，已经负责维持公司整期间截至编制报表当日的运作，詳細如下：</t>
        </is>
      </c>
      <c r="D1909" s="6" t="inlineStr">
        <is>
          <t>公司董事長及管理階層，已經負責維持公司整期間截至編制報表當日的運作，詳細如下：</t>
        </is>
      </c>
    </row>
    <row r="1910" ht="69" customFormat="1" customHeight="1" s="11">
      <c r="A1910" s="6" t="inlineStr">
        <is>
          <t>Chủ tịch và Giám đốc Công ty đã điều hành Công ty trong suốt giai đoạn và đến ngày lập báo cáo gồm:</t>
        </is>
      </c>
      <c r="B1910" s="6" t="inlineStr">
        <is>
          <t>Chairman and Director of the Company who have held business during the period and at the date of this report are as follows:</t>
        </is>
      </c>
      <c r="C1910" s="6" t="inlineStr">
        <is>
          <t>公司董事长和经理，已经负责维持公司整期间截至编制报表当日的运作，详细如下：</t>
        </is>
      </c>
      <c r="D1910" s="6" t="inlineStr">
        <is>
          <t>公司董事長及經理，業已負責維持公司整期間截至編製報表當日之運作，詳細如下：</t>
        </is>
      </c>
    </row>
    <row r="1911" ht="69" customFormat="1" customHeight="1" s="11">
      <c r="A1911" s="6" t="inlineStr">
        <is>
          <t>Chủ tịch và Tổng Giám đốc Công ty đã điều hành Công ty trong suốt giai đoạn và đến ngày lập báo cáo gồm:</t>
        </is>
      </c>
      <c r="B1911" s="6" t="inlineStr">
        <is>
          <t>Chairman and General Director of the Company who have held business during the period and at the date of this report are as follows:</t>
        </is>
      </c>
      <c r="C1911" s="6" t="inlineStr">
        <is>
          <t>公司董事长和总经理，已经负责维持公司整期间截至编制报表当日的运作，详细如下：</t>
        </is>
      </c>
      <c r="D1911" s="6" t="inlineStr">
        <is>
          <t>公司董事長和總經理，已經負責維持公司整期間截至編制報表當日的運作，詳細如下：</t>
        </is>
      </c>
    </row>
    <row r="1912" ht="41.4" customFormat="1" customHeight="1" s="11">
      <c r="A1912" s="6" t="inlineStr">
        <is>
          <t>đã điều hành Công ty trong suốt giai đoạn và đến ngày lập báo cáo.</t>
        </is>
      </c>
      <c r="B1912" s="6" t="inlineStr">
        <is>
          <t>has held business during the period and at the date of this report.</t>
        </is>
      </c>
      <c r="C1912" s="6" t="inlineStr">
        <is>
          <t>已经负责维持公司整期间截至编制报表当日的运作。</t>
        </is>
      </c>
      <c r="D1912" s="6" t="inlineStr">
        <is>
          <t>業已負責維持公司整期間截至編製報表當日之運作。</t>
        </is>
      </c>
    </row>
    <row r="1913" ht="41.4" customFormat="1" customHeight="1" s="11">
      <c r="A1913" s="6" t="inlineStr">
        <is>
          <t>Giám đốc Công ty, đã điều hành Công ty trong suốt giai đoạn và đến ngày lập báo cáo.</t>
        </is>
      </c>
      <c r="B1913" s="6" t="inlineStr">
        <is>
          <t>Director of the Company, has held business during the period and at the date of this report.</t>
        </is>
      </c>
      <c r="C1913" s="6" t="inlineStr">
        <is>
          <t>公司经理，已经负责维持公司整期间截至编制报表当日的运作。</t>
        </is>
      </c>
      <c r="D1913" s="6" t="inlineStr">
        <is>
          <t>公司經理，業已負責維持公司整期間截至編製報表當日之運作。</t>
        </is>
      </c>
    </row>
    <row r="1914" ht="69" customFormat="1" customHeight="1" s="11">
      <c r="A1914" s="6" t="inlineStr">
        <is>
          <t>Giám đốc điều hành Công ty đã điều hành Công ty trong suốt giai đoạn và đến ngày lập báo cáo gồm:</t>
        </is>
      </c>
      <c r="B1914" s="6" t="inlineStr">
        <is>
          <t>Managing Director of the Company who has held business during the period and at the date of this report are as follows:</t>
        </is>
      </c>
      <c r="C1914" s="6" t="inlineStr">
        <is>
          <t>公司执行总监，已经负责维持公司整期间截至编制报表当日的运作，详细如下：</t>
        </is>
      </c>
      <c r="D1914" s="6" t="inlineStr">
        <is>
          <t>公司執行總監，業已負責維持公司整期間截至編製報表當日之運作，詳細如下：</t>
        </is>
      </c>
    </row>
    <row r="1915" ht="69" customFormat="1" customHeight="1" s="11">
      <c r="A1915" s="6" t="inlineStr">
        <is>
          <t>Hội đồng Quản trị Công ty đã điều hành Công ty trong suốt giai đoạn và đến ngày lập báo cáo gồm:</t>
        </is>
      </c>
      <c r="B1915" s="6" t="inlineStr">
        <is>
          <t>The Board of Directors of the Company who have held business during the period and at the date of this report are as follows:</t>
        </is>
      </c>
      <c r="C1915" s="6" t="inlineStr">
        <is>
          <t>公司董事会，已经负责维持公司整期间截至编制报表当日的运作，详细如下：</t>
        </is>
      </c>
      <c r="D1915" s="6" t="inlineStr">
        <is>
          <t>公司董事會，業已負責維持公司整期間截至編製報表當日之運作，詳細如下：</t>
        </is>
      </c>
    </row>
    <row r="1916" ht="69" customFormat="1" customHeight="1" s="11">
      <c r="A1916" s="6" t="inlineStr">
        <is>
          <t>Khấu hao bất động sản đầu tư được trích theo phương pháp đường thẳng trong suốt thời gian hữu dụng ước tính của các bất động sản như sau:</t>
        </is>
      </c>
      <c r="B1916" s="6" t="inlineStr">
        <is>
          <t>Depreciation of investment properties is calculated on a straight-line basis over the estimated useful life of each asset as follows:</t>
        </is>
      </c>
      <c r="C1916" s="6" t="inlineStr">
        <is>
          <t>投资性不动产按照估计耐用年限采用直线法得以折旧。各类投资性不动产耐用年限范围如下：</t>
        </is>
      </c>
      <c r="D1916" s="6" t="inlineStr">
        <is>
          <t>投資性不動產按照估計耐用年限採用直線法得以折舊。各類投資性不動產耐用年限範圍如下：</t>
        </is>
      </c>
    </row>
    <row r="1917" ht="55.2" customFormat="1" customHeight="1" s="11">
      <c r="A1917" s="6" t="inlineStr">
        <is>
          <t>Tổng Giám đốc Công ty, đã điều hành Công ty trong suốt giai đoạn và đến ngày lập báo cáo.</t>
        </is>
      </c>
      <c r="B1917" s="6" t="inlineStr">
        <is>
          <t>General Director of the Company, has held business during the period and at the date of this report.</t>
        </is>
      </c>
      <c r="C1917" s="6" t="inlineStr">
        <is>
          <t>公司总经理，已经负责维持公司整期间截至编制报表当日的运作。</t>
        </is>
      </c>
      <c r="D1917" s="6" t="inlineStr">
        <is>
          <t>公司總經理，業已負責維持公司整期間截至編製報表當日之運作。</t>
        </is>
      </c>
    </row>
    <row r="1918" ht="27.6" customFormat="1" customHeight="1" s="11">
      <c r="A1918" s="6" t="inlineStr">
        <is>
          <t>Từ 01/01/2024 đến 31/12/2024</t>
        </is>
      </c>
      <c r="B1918" s="6" t="inlineStr">
        <is>
          <t>From Jan 01, 2024 to Dec 31, 2024</t>
        </is>
      </c>
      <c r="C1918" s="6" t="inlineStr">
        <is>
          <t>自2024/01/01日至2024/12/31日</t>
        </is>
      </c>
      <c r="D1918" s="6" t="inlineStr">
        <is>
          <t>自2024/01/01日至2024/12/31日</t>
        </is>
      </c>
    </row>
    <row r="1919" ht="41.4" customFormat="1" customHeight="1" s="11">
      <c r="A1919" s="6" t="inlineStr">
        <is>
          <t>Số cuối kỳ trước, đầu kỳ này</t>
        </is>
      </c>
      <c r="B1919" s="6" t="inlineStr">
        <is>
          <t>Closing balance of prior period, Opening balance of current period</t>
        </is>
      </c>
      <c r="C1919" s="6" t="inlineStr">
        <is>
          <t>上期期末余额、本期期初余额</t>
        </is>
      </c>
      <c r="D1919" s="6" t="inlineStr">
        <is>
          <t>上期期末餘額、本期期初餘額</t>
        </is>
      </c>
    </row>
    <row r="1920" ht="27.6" customFormat="1" customHeight="1" s="11">
      <c r="A1920" s="6" t="inlineStr">
        <is>
          <t>Tiền và tương đương tiền cuối kỳ</t>
        </is>
      </c>
      <c r="B1920" s="6" t="inlineStr">
        <is>
          <t>Cash and cash equivalents at the end of the period</t>
        </is>
      </c>
      <c r="C1920" s="6" t="inlineStr">
        <is>
          <t>期末现金及现金等价物余额</t>
        </is>
      </c>
      <c r="D1920" s="6" t="inlineStr">
        <is>
          <t>期末現金及約當現金餘額</t>
        </is>
      </c>
    </row>
    <row r="1921" ht="27.6" customFormat="1" customHeight="1" s="11">
      <c r="A1921" s="6" t="inlineStr">
        <is>
          <t>Tiền và tương đương tiền đầu kỳ</t>
        </is>
      </c>
      <c r="B1921" s="6" t="inlineStr">
        <is>
          <t>Cash and cash equivalents at the beginning of the period</t>
        </is>
      </c>
      <c r="C1921" s="6" t="inlineStr">
        <is>
          <t>期初现金及现金等价物余额</t>
        </is>
      </c>
      <c r="D1921" s="6" t="inlineStr">
        <is>
          <t>期初現金及約當現金餘額</t>
        </is>
      </c>
    </row>
    <row r="1922" customFormat="1" s="11">
      <c r="A1922" s="6" t="inlineStr">
        <is>
          <t>Số năm khấu hao</t>
        </is>
      </c>
      <c r="B1922" s="6" t="inlineStr">
        <is>
          <t>Years</t>
        </is>
      </c>
      <c r="C1922" s="6" t="inlineStr">
        <is>
          <t>耐用年限</t>
        </is>
      </c>
      <c r="D1922" s="6" t="inlineStr">
        <is>
          <t>耐用年限</t>
        </is>
      </c>
    </row>
    <row r="1923" ht="41.4" customFormat="1" customHeight="1" s="11">
      <c r="A1923" s="6" t="inlineStr">
        <is>
          <t>Tiền thu từ phát hành cổ phiếu, nhận vốn góp của chủ sở hữu</t>
        </is>
      </c>
      <c r="B1923" s="6" t="inlineStr">
        <is>
          <t>Proceeds from equity issue and owner’s equity</t>
        </is>
      </c>
      <c r="C1923" s="6" t="inlineStr">
        <is>
          <t>发行股票及股东出资款项</t>
        </is>
      </c>
      <c r="D1923" s="6" t="inlineStr">
        <is>
          <t>發行股票及股東出資款項</t>
        </is>
      </c>
    </row>
    <row r="1924" ht="27.6" customFormat="1" customHeight="1" s="11">
      <c r="A1924" s="6" t="inlineStr">
        <is>
          <t>Kỳ kế toán đầu tiên của Công ty bắt đầu từ</t>
        </is>
      </c>
      <c r="B1924" s="6" t="inlineStr">
        <is>
          <t>The first fiscal year of the Company is from</t>
        </is>
      </c>
      <c r="C1924" s="6" t="inlineStr">
        <is>
          <t>公司第一会计期间自xxxx年xx月xx日起</t>
        </is>
      </c>
      <c r="D1924" s="6" t="inlineStr">
        <is>
          <t>公司第一會計期間自xxxx年xx月xx日起</t>
        </is>
      </c>
    </row>
    <row r="1925" customFormat="1" s="11">
      <c r="A1925" s="6" t="inlineStr">
        <is>
          <t>và kết thúc vào</t>
        </is>
      </c>
      <c r="B1925" s="6" t="inlineStr">
        <is>
          <t>to</t>
        </is>
      </c>
      <c r="C1925" s="6" t="inlineStr">
        <is>
          <t>至xxxx年xx月xx日止</t>
        </is>
      </c>
      <c r="D1925" s="6" t="inlineStr">
        <is>
          <t>至xxxx年xx月xx日止</t>
        </is>
      </c>
    </row>
    <row r="1926" ht="27.6" customFormat="1" customHeight="1" s="11">
      <c r="A1926" s="6" t="inlineStr">
        <is>
          <t>BÁO CÁO TÌNH HÌNH TÀI CHÍNH</t>
        </is>
      </c>
      <c r="B1926" s="6" t="inlineStr">
        <is>
          <t>STATEMENT OF FINANCIAL POSITION</t>
        </is>
      </c>
      <c r="C1926" s="6" t="inlineStr">
        <is>
          <t>财务状况表</t>
        </is>
      </c>
      <c r="D1926" s="6" t="inlineStr">
        <is>
          <t>財務狀況表</t>
        </is>
      </c>
    </row>
    <row r="1927" ht="96.59999999999999" customFormat="1" customHeight="1" s="11">
      <c r="A1927" s="6" t="inlineStr">
        <is>
          <t>Công ty áp dụng Chế độ kế toán doanh nghiệp nhỏ và vừa ban hành theo Thông tư số 133/2016/TT-BTC ngày 26 tháng 08 năm 2016 của Bộ Tài chính.</t>
        </is>
      </c>
      <c r="B1927" s="6" t="inlineStr">
        <is>
          <t>The Company has applied the small and medium enterprise accounting system in accordance with Circular No. 133/2016/TT-BTC dated August 26, 2016 of the Ministry of Finance.</t>
        </is>
      </c>
      <c r="C1927" s="6" t="inlineStr">
        <is>
          <t>公司采用已经获得批准并颁行的中小型企业会计制度，依据财政部在2016年08月26日颁布的《第133/2016/TT-BTC号公告》。</t>
        </is>
      </c>
      <c r="D1927" s="6" t="inlineStr">
        <is>
          <t>公司採用已經獲得批准並頒行的中小型企業會計制度，依據財政部在2016年08月26日頒佈的《第133/2016/TT-BTC號公告》。</t>
        </is>
      </c>
    </row>
    <row r="1928" customFormat="1" s="11">
      <c r="A1928" s="6" t="inlineStr">
        <is>
          <t>Các khoản phải trả</t>
        </is>
      </c>
      <c r="B1928" s="6" t="inlineStr">
        <is>
          <t>Payables</t>
        </is>
      </c>
      <c r="C1928" s="6" t="inlineStr">
        <is>
          <t>应付帐款</t>
        </is>
      </c>
      <c r="D1928" s="6" t="inlineStr">
        <is>
          <t>應付帳款</t>
        </is>
      </c>
    </row>
    <row r="1929" ht="262.2" customFormat="1" customHeight="1" s="11">
      <c r="A1929" s="6" t="inlineStr">
        <is>
          <t>Thuế thu nhập doanh nghiệp hiện hành được tính căn cứ vào thuế suất áp dụng trong năm và kết quả kinh doanh trong năm đã được điều chỉnh cho vài khoản mục, mà cho rằng không được đánh giá hay được phép khi xác định thu nhập chịu thuế bao gồm cả khoản lỗ mang sang, nếu có. Do việc áp dụng luật và quy định về thuế đối với nhiều loại nghiệp vụ có thể được diễn giải khác nhau, số thuế được trình bày trên Báo cáo tài chính có thể bị thay đổi theo quyết định của cơ quan thuế.</t>
        </is>
      </c>
      <c r="B1929" s="6" t="inlineStr">
        <is>
          <t>Current corporate income tax is calculated based on the applicable tax rate and the business results for the year as adjusted for certain items that are deemed non-assessable or disallowed when determining taxable income, including tax losses carried forward, if any. Due to the application of tax laws and regulations to many types of transactions being subject to different interpretations, the tax amounts presented in the financial statements may be subject to adjustment upon determination by the tax authorities.</t>
        </is>
      </c>
      <c r="C1929" s="6" t="inlineStr">
        <is>
          <t>现行企业所得税是依据适用于该年度的税率，并根据若干项目调整后的年度经营成果计算，该等项目在确定应税所得时不予评估或不被允许，包括可结转的亏损（如有）。由于税法及税务法规对多种交易的适用可能存在不同解释，财务报表中列示的应纳税额可能会依税务机关的裁定而有所变动。</t>
        </is>
      </c>
      <c r="D1929" s="6" t="inlineStr">
        <is>
          <t>現行企業所得稅係依據適用於該年度之稅率，並根據若干項目調整後的年度經營成果計算，該等項目在確定應稅所得時不予評估或不被允許，包括可結轉之虧損（如有）。由於稅法及稅務法規對多種交易之適用可能存在不同解釋，財務報表中列示之應納稅額可能會依稅務機關之裁定而有所變動。</t>
        </is>
      </c>
    </row>
    <row r="1930" ht="55.2" customFormat="1" customHeight="1" s="11">
      <c r="A1930" s="6" t="inlineStr">
        <is>
          <t>THÔNG TIN BỔ SUNG CÁC KHOẢN MỤC TRÌNH BÀY TRONG BÁO CÁO TÌNH HÌNH TÀI CHÍNH</t>
        </is>
      </c>
      <c r="B1930" s="6" t="inlineStr">
        <is>
          <t>ADDITIONAL DETAILS OF ITEMS STATED IN THE STATEMENT OF FINANCIAL POSITION</t>
        </is>
      </c>
      <c r="C1930" s="6" t="inlineStr">
        <is>
          <t>财务报表项目附注</t>
        </is>
      </c>
      <c r="D1930" s="6" t="inlineStr">
        <is>
          <t>財務報表項目附註</t>
        </is>
      </c>
    </row>
    <row r="1931" ht="27.6" customFormat="1" customHeight="1" s="11">
      <c r="A1931" s="6" t="inlineStr">
        <is>
          <t>Các khoản mục ngoài Báo cáo tình hình tài chính</t>
        </is>
      </c>
      <c r="B1931" s="6" t="inlineStr">
        <is>
          <t>Off-statement of financial position items</t>
        </is>
      </c>
      <c r="C1931" s="6" t="inlineStr">
        <is>
          <t>财务报表的表外项目</t>
        </is>
      </c>
      <c r="D1931" s="6" t="inlineStr">
        <is>
          <t>財務報表之表外項目</t>
        </is>
      </c>
    </row>
    <row r="1932" ht="41.4" customFormat="1" customHeight="1" s="11">
      <c r="A1932" s="6" t="inlineStr">
        <is>
          <t>Tiền chi để mua sắm, xây dựng tài sản cố định và các tài sản dài hạn khác</t>
        </is>
      </c>
      <c r="B1932" s="6" t="inlineStr">
        <is>
          <t>Additions to fixed assets and other non-current assets</t>
        </is>
      </c>
      <c r="C1932" s="6" t="inlineStr">
        <is>
          <t>固定资产及其他长期资产的购建支出</t>
        </is>
      </c>
      <c r="D1932" s="6" t="inlineStr">
        <is>
          <t>固定資產及其他長期資產之購建支出</t>
        </is>
      </c>
    </row>
    <row r="1933" ht="41.4" customFormat="1" customHeight="1" s="11">
      <c r="A1933" s="6" t="inlineStr">
        <is>
          <t>Tiền thu từ phát hành cổ phần, nhận vốn góp của chủ sở hữu</t>
        </is>
      </c>
      <c r="B1933" s="6" t="inlineStr">
        <is>
          <t>Proceeds from issuance of shares and capital contributions from owners</t>
        </is>
      </c>
      <c r="C1933" s="6" t="inlineStr">
        <is>
          <t>发行股票及股东出资款项</t>
        </is>
      </c>
      <c r="D1933" s="6" t="inlineStr">
        <is>
          <t>發行股票及股東出資款項</t>
        </is>
      </c>
    </row>
    <row r="1934" customFormat="1" s="11">
      <c r="A1934" s="6" t="inlineStr">
        <is>
          <t>Địa chỉ:</t>
        </is>
      </c>
      <c r="B1934" s="6" t="inlineStr">
        <is>
          <t>Address:</t>
        </is>
      </c>
      <c r="C1934" s="6" t="inlineStr">
        <is>
          <t>地址：</t>
        </is>
      </c>
      <c r="D1934" s="6" t="inlineStr">
        <is>
          <t>地址：</t>
        </is>
      </c>
    </row>
    <row r="1935" customFormat="1" s="11">
      <c r="A1935" s="6" t="inlineStr">
        <is>
          <t>Ngày thành lập:</t>
        </is>
      </c>
      <c r="B1935" s="6" t="inlineStr">
        <is>
          <t>Incorporation date:</t>
        </is>
      </c>
      <c r="C1935" s="6" t="inlineStr">
        <is>
          <t>成立日期：</t>
        </is>
      </c>
      <c r="D1935" s="6" t="inlineStr">
        <is>
          <t>成立日期：</t>
        </is>
      </c>
    </row>
    <row r="1936" customFormat="1" s="11">
      <c r="A1936" s="6" t="inlineStr">
        <is>
          <t>Thời hạn dự án:</t>
        </is>
      </c>
      <c r="B1936" s="6" t="inlineStr">
        <is>
          <t>Project duration:</t>
        </is>
      </c>
      <c r="C1936" s="6" t="inlineStr">
        <is>
          <t>项目期间：</t>
        </is>
      </c>
      <c r="D1936" s="6" t="inlineStr">
        <is>
          <t>項目期間：</t>
        </is>
      </c>
    </row>
    <row r="1937" ht="55.2" customFormat="1" customHeight="1" s="11">
      <c r="A1937" s="6" t="inlineStr">
        <is>
          <t>Công ty có các chi nhánh, văn phòng đại diện, địa điểm kinh doanh như sau:</t>
        </is>
      </c>
      <c r="B1937" s="6" t="inlineStr">
        <is>
          <t>The Company has the following branches, representative offices and business locations:</t>
        </is>
      </c>
      <c r="C1937" s="6" t="inlineStr">
        <is>
          <t>公司拥有以下分支机构、代表处及营业据点：</t>
        </is>
      </c>
      <c r="D1937" s="6" t="inlineStr">
        <is>
          <t>公司擁有以下分支機構、代表處及營業據點：</t>
        </is>
      </c>
    </row>
    <row r="1938" ht="27.6" customFormat="1" customHeight="1" s="11">
      <c r="A1938" s="6" t="inlineStr">
        <is>
          <t>Công ty có các công ty con như sau:</t>
        </is>
      </c>
      <c r="B1938" s="6" t="inlineStr">
        <is>
          <t>The Company has the following subsidiaries:</t>
        </is>
      </c>
      <c r="C1938" s="6" t="inlineStr">
        <is>
          <t>公司拥有以下子公司：</t>
        </is>
      </c>
      <c r="D1938" s="6" t="inlineStr">
        <is>
          <t>公司擁有以下子公司：</t>
        </is>
      </c>
    </row>
    <row r="1939" ht="96.59999999999999" customFormat="1" customHeight="1" s="11">
      <c r="A1939" s="6" t="inlineStr">
        <is>
          <t>Các nghiệp vụ phát sinh trong kỳ không phải là USD được quy đổi sang USD theo tỷ giá giao dịch thực tế tại ngày phát sinh nghiệp vụ. Tỷ giá giao dịch thực tế được xác định như sau:</t>
        </is>
      </c>
      <c r="B1939" s="6" t="inlineStr">
        <is>
          <t>Transactions which are not in USD are translated into USD at the real exchange rates ruling at the date of transactions. The principles for determining the real exchange rates are as follows:</t>
        </is>
      </c>
      <c r="C1939" s="6" t="inlineStr">
        <is>
          <t>本期非以美元计价的交易，应按交易日的实时汇率折算为美元。实时汇率的确定原则如下：</t>
        </is>
      </c>
      <c r="D1939" s="6" t="inlineStr">
        <is>
          <t>本期非以美元計價之交易，應按交易日之實時匯率折算為美元。實時匯率之確定原則如下：</t>
        </is>
      </c>
    </row>
    <row r="1940" ht="96.59999999999999" customFormat="1" customHeight="1" s="11">
      <c r="A1940" s="6" t="inlineStr">
        <is>
          <t>Các nghiệp vụ phát sinh trong kỳ không phải là VND được quy đổi sang VND theo tỷ giá giao dịch thực tế tại ngày phát sinh nghiệp vụ. Tỷ giá giao dịch thực tế được xác định như sau:</t>
        </is>
      </c>
      <c r="B1940" s="6" t="inlineStr">
        <is>
          <t>Transactions which are not in VND are translated into VND at the real exchange rates ruling at the date of transactions. The principles for determining the real exchange rates are as follows:</t>
        </is>
      </c>
      <c r="C1940" s="6" t="inlineStr">
        <is>
          <t>本期非以越南盾计价的交易，应按交易日的实时汇率折算为越南盾。实时汇率的确定原则如下：</t>
        </is>
      </c>
      <c r="D1940" s="6" t="inlineStr">
        <is>
          <t>本期非以越南盾計價之交易，應按交易日之實時匯率折算為越南盾。實時匯率之確定原則如下：</t>
        </is>
      </c>
    </row>
    <row r="1941" ht="179.4" customFormat="1" customHeight="1" s="11">
      <c r="A1941" s="6" t="inlineStr">
        <is>
          <t>Các nghiệp vụ phát sinh trong kỳ không phải là USD được quy đổi sang USD theo tỷ giá giao dịch thực tế là tỷ giá xấp xỉ với tỷ giá mua bán chuyển khoản trung bình của ngân hàng thương mại nơi doanh nghiệp thường xuyên có giao dịch. Tỷ giá xấp xỉ chênh lệch không vượt quá +/-1% so với tỷ giá mua bán chuyển khoản trung bình.</t>
        </is>
      </c>
      <c r="B1941" s="6" t="inlineStr">
        <is>
          <t>Transactions which are not in USD are translated into USD at the real exchange rates as the one which approximates the average transfer selling and buying rate of the commercial bank where the Company has regular transactions. The approximate exchange rate must ensure its difference does not exceed +/-1% compared with the average transfer selling and buying rate.</t>
        </is>
      </c>
      <c r="C1941" s="6" t="inlineStr">
        <is>
          <t>本期非以美元计价的交易，应以公司经常交易往来的的商业银行公布的电汇买卖平均价（汇率）的近似汇率折算为美元。近似汇率与平均买卖电汇汇率相差幅度不超过+/-1%。</t>
        </is>
      </c>
      <c r="D1941" s="6" t="inlineStr">
        <is>
          <t>本期非以美元計價之交易，應以公司經常交易往來的的商業銀行公佈的電匯買賣平均價（匯率）的近似匯率折算為美元。近似匯率與平均買賣電匯匯率相差幅度不超過+/-1%。</t>
        </is>
      </c>
    </row>
    <row r="1942" ht="179.4" customFormat="1" customHeight="1" s="11">
      <c r="A1942" s="6" t="inlineStr">
        <is>
          <t>Các nghiệp vụ phát sinh trong kỳ không phải là VND được quy đổi sang VND theo tỷ giá giao dịch thực tế là tỷ giá xấp xỉ với tỷ giá mua bán chuyển khoản trung bình của ngân hàng thương mại nơi doanh nghiệp thường xuyên có giao dịch. Tỷ giá xấp xỉ chênh lệch không vượt quá +/-1% so với tỷ giá mua bán chuyển khoản trung bình.</t>
        </is>
      </c>
      <c r="B1942" s="6" t="inlineStr">
        <is>
          <t>Transactions which are not in VND are translated into VND at the real exchange rates as the one which approximates the average transfer selling and buying rate of the commercial bank where the Company has regular transactions. The approximate exchange rate must ensure its difference does not exceed +/-1% compared with the average transfer selling and buying rate.</t>
        </is>
      </c>
      <c r="C1942" s="6" t="inlineStr">
        <is>
          <t>本期非以越南盾计价的交易，应以公司经常交易往来的的商业银行公布的电汇买卖平均价（汇率）的近似汇率折算为越南盾。近似汇率与平均买卖电汇汇率相差幅度不超过+/-1%。</t>
        </is>
      </c>
      <c r="D1942" s="6" t="inlineStr">
        <is>
          <t>本期非以越南盾計價之交易，應以公司經常交易往來的的商業銀行公佈的電匯買賣平均價（匯率）的近似匯率折算為越南盾。近似匯率與平均買賣電匯匯率相差幅度不超過+/-1%。</t>
        </is>
      </c>
    </row>
    <row r="1943" ht="41.4" customFormat="1" customHeight="1" s="11">
      <c r="A1943" s="6" t="inlineStr">
        <is>
          <t>Ngân hàng TNHH Một Thành Viên United Overseas Bank (Việt Nam)</t>
        </is>
      </c>
      <c r="B1943" s="6" t="inlineStr">
        <is>
          <t>United Overseas Bank (Vietnam) Limited</t>
        </is>
      </c>
      <c r="C1943" s="6" t="inlineStr">
        <is>
          <t>大华银行（越南）有限公司</t>
        </is>
      </c>
      <c r="D1943" s="6" t="inlineStr">
        <is>
          <t>大華銀行（越南）有限公司</t>
        </is>
      </c>
    </row>
    <row r="1944" ht="41.4" customFormat="1" customHeight="1" s="11">
      <c r="A1944" s="6" t="inlineStr">
        <is>
          <t>Ngân hàng TNHH Một thành viên United Overseas Bank (Việt Nam)</t>
        </is>
      </c>
      <c r="B1944" s="6" t="inlineStr">
        <is>
          <t>United Overseas Bank (Vietnam) Limited</t>
        </is>
      </c>
      <c r="C1944" s="6" t="inlineStr">
        <is>
          <t>大华银行（越南）有限公司</t>
        </is>
      </c>
      <c r="D1944" s="6" t="inlineStr">
        <is>
          <t>大華銀行（越南）有限公司</t>
        </is>
      </c>
    </row>
    <row r="1945" ht="41.4" customFormat="1" customHeight="1" s="11">
      <c r="A1945" s="6" t="inlineStr">
        <is>
          <t>Ngân hàng TNHH Một Thành viên United Overseas Bank (Việt Nam)</t>
        </is>
      </c>
      <c r="B1945" s="6" t="inlineStr">
        <is>
          <t>United Overseas Bank (Vietnam) Limited</t>
        </is>
      </c>
      <c r="C1945" s="6" t="inlineStr">
        <is>
          <t>大华银行（越南）有限公司</t>
        </is>
      </c>
      <c r="D1945" s="6" t="inlineStr">
        <is>
          <t>大華銀行（越南）有限公司</t>
        </is>
      </c>
    </row>
    <row r="1946" ht="41.4" customFormat="1" customHeight="1" s="11">
      <c r="A1946" s="6" t="inlineStr">
        <is>
          <t>Ngân hàng TMCP Công Thương Việt Nam</t>
        </is>
      </c>
      <c r="B1946" s="6" t="inlineStr">
        <is>
          <t>Vietnam Joint Stock Commercial Bank For Industry And Trade (CTG)</t>
        </is>
      </c>
      <c r="C1946" s="6" t="inlineStr">
        <is>
          <t>越南工商股份商业银行（Vietinbank）</t>
        </is>
      </c>
      <c r="D1946" s="6" t="inlineStr">
        <is>
          <t>越南工商股份商業銀行（Vietinbank）</t>
        </is>
      </c>
    </row>
    <row r="1947" ht="41.4" customFormat="1" customHeight="1" s="11">
      <c r="A1947" s="6" t="inlineStr">
        <is>
          <t>Ngân hàng TMCP Công thương Việt Nam</t>
        </is>
      </c>
      <c r="B1947" s="6" t="inlineStr">
        <is>
          <t>Vietnam Joint Stock Commercial Bank For Industry And Trade (CTG)</t>
        </is>
      </c>
      <c r="C1947" s="6" t="inlineStr">
        <is>
          <t>越南工商股份商业银行（Vietinbank）</t>
        </is>
      </c>
      <c r="D1947" s="6" t="inlineStr">
        <is>
          <t>越南工商股份商業銀行（Vietinbank）</t>
        </is>
      </c>
    </row>
    <row r="1948" ht="41.4" customFormat="1" customHeight="1" s="11">
      <c r="A1948" s="6" t="inlineStr">
        <is>
          <t>Ngân hàng Thương mại cổ phần Công Thương Việt Nam</t>
        </is>
      </c>
      <c r="B1948" s="6" t="inlineStr">
        <is>
          <t>Vietnam Joint Stock Commercial Bank For Industry And Trade (CTG)</t>
        </is>
      </c>
      <c r="C1948" s="6" t="inlineStr">
        <is>
          <t>越南工商股份商业银行（Vietinbank）</t>
        </is>
      </c>
      <c r="D1948" s="6" t="inlineStr">
        <is>
          <t>越南工商股份商業銀行（Vietinbank）</t>
        </is>
      </c>
    </row>
    <row r="1949" ht="27.6" customFormat="1" customHeight="1" s="11">
      <c r="A1949" s="6" t="inlineStr">
        <is>
          <t>Ngân hàng TMCP Quân Đội</t>
        </is>
      </c>
      <c r="B1949" s="6" t="inlineStr">
        <is>
          <t>Military Commercial Joint Stock Bank</t>
        </is>
      </c>
      <c r="C1949" s="6" t="inlineStr">
        <is>
          <t>越南军队股份商业银行</t>
        </is>
      </c>
      <c r="D1949" s="6" t="inlineStr">
        <is>
          <t>越南軍隊股份商業銀行</t>
        </is>
      </c>
    </row>
    <row r="1950" ht="27.6" customFormat="1" customHeight="1" s="11">
      <c r="A1950" s="6" t="inlineStr">
        <is>
          <t>Ngân hàng TMCP Quân đội</t>
        </is>
      </c>
      <c r="B1950" s="6" t="inlineStr">
        <is>
          <t>Military Commercial Joint Stock Bank</t>
        </is>
      </c>
      <c r="C1950" s="6" t="inlineStr">
        <is>
          <t>越南军队股份商业银行</t>
        </is>
      </c>
      <c r="D1950" s="6" t="inlineStr">
        <is>
          <t>越南軍隊股份商業銀行</t>
        </is>
      </c>
    </row>
    <row r="1951" ht="27.6" customFormat="1" customHeight="1" s="11">
      <c r="A1951" s="6" t="inlineStr">
        <is>
          <t>Ngân hàng Thương mại Cổ phần Quân đội</t>
        </is>
      </c>
      <c r="B1951" s="6" t="inlineStr">
        <is>
          <t>Military Commercial Joint Stock Bank</t>
        </is>
      </c>
      <c r="C1951" s="6" t="inlineStr">
        <is>
          <t>越南军队股份商业银行</t>
        </is>
      </c>
      <c r="D1951" s="6" t="inlineStr">
        <is>
          <t>越南軍隊股份商業銀行</t>
        </is>
      </c>
    </row>
    <row r="1952" ht="41.4" customFormat="1" customHeight="1" s="11">
      <c r="A1952" s="6" t="inlineStr">
        <is>
          <t>Ngân hàng TMCP Kỹ Thương Việt Nam</t>
        </is>
      </c>
      <c r="B1952" s="6" t="inlineStr">
        <is>
          <t>Vietnam Technological And Commercial Joint Stock Bank (TCB)</t>
        </is>
      </c>
      <c r="C1952" s="6" t="inlineStr">
        <is>
          <t>越南科技商业股份银行（Techcombank）</t>
        </is>
      </c>
      <c r="D1952" s="6" t="inlineStr">
        <is>
          <t>越南科技商業股份銀行（Techcombank）</t>
        </is>
      </c>
    </row>
    <row r="1953" customFormat="1" s="11">
      <c r="A1953" s="6" t="inlineStr">
        <is>
          <t>Taishin International Bank</t>
        </is>
      </c>
      <c r="B1953" s="6" t="inlineStr">
        <is>
          <t>Taishin International Bank</t>
        </is>
      </c>
      <c r="C1953" s="6" t="inlineStr">
        <is>
          <t>台新国际商业银行</t>
        </is>
      </c>
      <c r="D1953" s="6" t="inlineStr">
        <is>
          <t>台新國際商業銀行</t>
        </is>
      </c>
    </row>
    <row r="1954" ht="27.6" customFormat="1" customHeight="1" s="11">
      <c r="A1954" s="6" t="inlineStr">
        <is>
          <t>The Shanghai Commercial &amp; Savings Bank, Ltd</t>
        </is>
      </c>
      <c r="B1954" s="6" t="inlineStr">
        <is>
          <t>The Shanghai Commercial &amp; Savings Bank, Ltd</t>
        </is>
      </c>
      <c r="C1954" s="6" t="inlineStr">
        <is>
          <t>上海商业储蓄银行</t>
        </is>
      </c>
      <c r="D1954" s="6" t="inlineStr">
        <is>
          <t>上海商業儲蓄銀行</t>
        </is>
      </c>
    </row>
    <row r="1955" ht="41.4" customFormat="1" customHeight="1" s="11">
      <c r="A1955" s="6" t="inlineStr">
        <is>
          <t>Ngân hàng Sài Gòn Thương Tín (Sacombank)</t>
        </is>
      </c>
      <c r="B1955" s="6" t="inlineStr">
        <is>
          <t>Saigon Thuong Tin Commercial Joint Stock Bank (Sacombank)</t>
        </is>
      </c>
      <c r="C1955" s="6" t="inlineStr">
        <is>
          <t>西贡商信银行（Sacombank）</t>
        </is>
      </c>
      <c r="D1955" s="6" t="inlineStr">
        <is>
          <t>西貢商信銀行（Sacombank）</t>
        </is>
      </c>
    </row>
    <row r="1956" ht="41.4" customFormat="1" customHeight="1" s="11">
      <c r="A1956" s="6" t="inlineStr">
        <is>
          <t>Ngân hàng Industrial and Commercial Bank of China Limited</t>
        </is>
      </c>
      <c r="B1956" s="6" t="inlineStr">
        <is>
          <t>Industrial and Commercial Bank of China Limited</t>
        </is>
      </c>
      <c r="C1956" s="6" t="inlineStr">
        <is>
          <t>中国工商银行股份有限公司</t>
        </is>
      </c>
      <c r="D1956" s="6" t="inlineStr">
        <is>
          <t>中國工商銀行股份有限公司</t>
        </is>
      </c>
    </row>
    <row r="1957" ht="27.6" customFormat="1" customHeight="1" s="11">
      <c r="A1957" s="6" t="inlineStr">
        <is>
          <t>Ngân hàng Industrial Bank of Korea</t>
        </is>
      </c>
      <c r="B1957" s="6" t="inlineStr">
        <is>
          <t>Industrial Bank of Korea</t>
        </is>
      </c>
      <c r="C1957" s="6" t="inlineStr">
        <is>
          <t>韩国产业银行</t>
        </is>
      </c>
      <c r="D1957" s="6" t="inlineStr">
        <is>
          <t>韓國產業銀行</t>
        </is>
      </c>
    </row>
    <row r="1958" customFormat="1" s="11">
      <c r="A1958" s="6" t="inlineStr">
        <is>
          <t>Chi nhánh Thành phố Hà Nội</t>
        </is>
      </c>
      <c r="B1958" s="6" t="inlineStr">
        <is>
          <t>Hanoi City Branch</t>
        </is>
      </c>
      <c r="C1958" s="6" t="inlineStr">
        <is>
          <t>河内市分分行</t>
        </is>
      </c>
      <c r="D1958" s="6" t="inlineStr">
        <is>
          <t>河內市分行</t>
        </is>
      </c>
    </row>
    <row r="1959" ht="27.6" customFormat="1" customHeight="1" s="11">
      <c r="A1959" s="6" t="inlineStr">
        <is>
          <t>Chi nhánh Thành phố Hồ Chí Minh</t>
        </is>
      </c>
      <c r="B1959" s="6" t="inlineStr">
        <is>
          <t>Ho Chi Minh City Branch</t>
        </is>
      </c>
      <c r="C1959" s="6" t="inlineStr">
        <is>
          <t>胡志明市分行</t>
        </is>
      </c>
      <c r="D1959" s="6" t="inlineStr">
        <is>
          <t>胡志明市分行</t>
        </is>
      </c>
    </row>
    <row r="1960" ht="27.6" customFormat="1" customHeight="1" s="11">
      <c r="A1960" s="6" t="inlineStr">
        <is>
          <t>Chi nhánh thành phố Hồ Chí Minh</t>
        </is>
      </c>
      <c r="B1960" s="6" t="inlineStr">
        <is>
          <t>Ho Chi Minh City Branch</t>
        </is>
      </c>
      <c r="C1960" s="6" t="inlineStr">
        <is>
          <t>胡志明市分行</t>
        </is>
      </c>
      <c r="D1960" s="6" t="inlineStr">
        <is>
          <t>胡志明市分行</t>
        </is>
      </c>
    </row>
    <row r="1961" customFormat="1" s="11">
      <c r="A1961" s="6" t="inlineStr">
        <is>
          <t>Chi nhánh Hồ Chí Minh</t>
        </is>
      </c>
      <c r="B1961" s="6" t="inlineStr">
        <is>
          <t>Ho Chi Minh City Branch</t>
        </is>
      </c>
      <c r="C1961" s="6" t="inlineStr">
        <is>
          <t>胡志明市分行</t>
        </is>
      </c>
      <c r="D1961" s="6" t="inlineStr">
        <is>
          <t>胡志明市分行</t>
        </is>
      </c>
    </row>
    <row r="1962" customFormat="1" s="11">
      <c r="A1962" s="6" t="inlineStr">
        <is>
          <t>Chi nhánh TP. Hồ Chí Minh</t>
        </is>
      </c>
      <c r="B1962" s="6" t="inlineStr">
        <is>
          <t>Ho Chi Minh City Branch</t>
        </is>
      </c>
      <c r="C1962" s="6" t="inlineStr">
        <is>
          <t>胡志明市分行</t>
        </is>
      </c>
      <c r="D1962" s="6" t="inlineStr">
        <is>
          <t>胡志明市分行</t>
        </is>
      </c>
    </row>
    <row r="1963" customFormat="1" s="11">
      <c r="A1963" s="6" t="inlineStr">
        <is>
          <t>Chi nhánh Tp. Hồ Chí Minh</t>
        </is>
      </c>
      <c r="B1963" s="6" t="inlineStr">
        <is>
          <t>Ho Chi Minh City Branch</t>
        </is>
      </c>
      <c r="C1963" s="6" t="inlineStr">
        <is>
          <t>胡志明市分行</t>
        </is>
      </c>
      <c r="D1963" s="6" t="inlineStr">
        <is>
          <t>胡志明市分行</t>
        </is>
      </c>
    </row>
    <row r="1964" customFormat="1" s="11">
      <c r="A1964" s="6" t="inlineStr">
        <is>
          <t>Chi nhánh Tp Hồ Chí Minh</t>
        </is>
      </c>
      <c r="B1964" s="6" t="inlineStr">
        <is>
          <t>Ho Chi Minh City Branch</t>
        </is>
      </c>
      <c r="C1964" s="6" t="inlineStr">
        <is>
          <t>胡志明市分行</t>
        </is>
      </c>
      <c r="D1964" s="6" t="inlineStr">
        <is>
          <t>胡志明市分行</t>
        </is>
      </c>
    </row>
    <row r="1965" customFormat="1" s="11">
      <c r="A1965" s="6" t="inlineStr">
        <is>
          <t>Chi nhánh Đông Bình Dương</t>
        </is>
      </c>
      <c r="B1965" s="6" t="inlineStr">
        <is>
          <t>Binh Duong Eastern Branch</t>
        </is>
      </c>
      <c r="C1965" s="6" t="inlineStr">
        <is>
          <t>东平阳分行</t>
        </is>
      </c>
      <c r="D1965" s="6" t="inlineStr">
        <is>
          <t>東平陽分行</t>
        </is>
      </c>
    </row>
    <row r="1966" customFormat="1" s="11">
      <c r="A1966" s="6" t="inlineStr">
        <is>
          <t>Chi nhánh Bắc Bình Dương</t>
        </is>
      </c>
      <c r="B1966" s="6" t="inlineStr">
        <is>
          <t>Bac Binh Duong Branch</t>
        </is>
      </c>
      <c r="C1966" s="6" t="inlineStr">
        <is>
          <t>北平阳分行</t>
        </is>
      </c>
      <c r="D1966" s="6" t="inlineStr">
        <is>
          <t>北平陽分行</t>
        </is>
      </c>
    </row>
    <row r="1967" customFormat="1" s="11">
      <c r="A1967" s="6" t="inlineStr">
        <is>
          <t>Chi nhánh Bà Rịa</t>
        </is>
      </c>
      <c r="B1967" s="6" t="inlineStr">
        <is>
          <t>Ba Ria Branch</t>
        </is>
      </c>
      <c r="C1967" s="6" t="inlineStr">
        <is>
          <t>巴地分行</t>
        </is>
      </c>
      <c r="D1967" s="6" t="inlineStr">
        <is>
          <t>巴地分行</t>
        </is>
      </c>
    </row>
    <row r="1968" customFormat="1" s="11">
      <c r="A1968" s="6" t="inlineStr">
        <is>
          <t>Chi nhánh Nam Sài Gòn</t>
        </is>
      </c>
      <c r="B1968" s="6" t="inlineStr">
        <is>
          <t>South Saigon Branch</t>
        </is>
      </c>
      <c r="C1968" s="6" t="inlineStr">
        <is>
          <t>南西贡分行</t>
        </is>
      </c>
      <c r="D1968" s="6" t="inlineStr">
        <is>
          <t>南西貢分行</t>
        </is>
      </c>
    </row>
    <row r="1969" customFormat="1" s="11">
      <c r="A1969" s="6" t="inlineStr">
        <is>
          <t>Chi nhánh Mỹ Phước</t>
        </is>
      </c>
      <c r="B1969" s="6" t="inlineStr">
        <is>
          <t>My Phuoc Branch</t>
        </is>
      </c>
      <c r="C1969" s="6" t="inlineStr">
        <is>
          <t>美福分行</t>
        </is>
      </c>
      <c r="D1969" s="6" t="inlineStr">
        <is>
          <t>美福分行</t>
        </is>
      </c>
    </row>
    <row r="1970" customFormat="1" s="11">
      <c r="A1970" s="6" t="inlineStr">
        <is>
          <t>Chi nhánh Đồng Nai</t>
        </is>
      </c>
      <c r="B1970" s="6" t="inlineStr">
        <is>
          <t>Dong Nai Branch</t>
        </is>
      </c>
      <c r="C1970" s="6" t="inlineStr">
        <is>
          <t>同奈分行</t>
        </is>
      </c>
      <c r="D1970" s="6" t="inlineStr">
        <is>
          <t>同奈分行</t>
        </is>
      </c>
    </row>
    <row r="1971" customFormat="1" s="11">
      <c r="A1971" s="6" t="inlineStr">
        <is>
          <t>Chi nhánh Bình Dương</t>
        </is>
      </c>
      <c r="B1971" s="6" t="inlineStr">
        <is>
          <t>Binh Duong Branch</t>
        </is>
      </c>
      <c r="C1971" s="6" t="inlineStr">
        <is>
          <t>平阳分行</t>
        </is>
      </c>
      <c r="D1971" s="6" t="inlineStr">
        <is>
          <t>平陽分行</t>
        </is>
      </c>
    </row>
    <row r="1972" customFormat="1" s="11">
      <c r="A1972" s="6" t="inlineStr">
        <is>
          <t>Ngày gửi</t>
        </is>
      </c>
      <c r="B1972" s="6" t="inlineStr">
        <is>
          <t>Deposit date</t>
        </is>
      </c>
      <c r="C1972" s="6" t="inlineStr">
        <is>
          <t>存入日期</t>
        </is>
      </c>
      <c r="D1972" s="6" t="inlineStr">
        <is>
          <t>存入日期</t>
        </is>
      </c>
    </row>
    <row r="1973" customFormat="1" s="11">
      <c r="A1973" s="6" t="inlineStr">
        <is>
          <t>Ngày đến hạn</t>
        </is>
      </c>
      <c r="B1973" s="6" t="inlineStr">
        <is>
          <t>Maturity date</t>
        </is>
      </c>
      <c r="C1973" s="6" t="inlineStr">
        <is>
          <t>到期日期</t>
        </is>
      </c>
      <c r="D1973" s="6" t="inlineStr">
        <is>
          <t>到期日期</t>
        </is>
      </c>
    </row>
    <row r="1974" customFormat="1" s="11">
      <c r="A1974" s="6" t="inlineStr">
        <is>
          <t>Công ty chung chủ sở hữu</t>
        </is>
      </c>
      <c r="B1974" s="6" t="inlineStr">
        <is>
          <t>Same owner</t>
        </is>
      </c>
      <c r="C1974" s="6" t="inlineStr">
        <is>
          <t>同一所有者</t>
        </is>
      </c>
      <c r="D1974" s="6" t="inlineStr">
        <is>
          <t>同一所有者</t>
        </is>
      </c>
    </row>
    <row r="1975" ht="27.6" customFormat="1" customHeight="1" s="11">
      <c r="A1975" s="6" t="inlineStr">
        <is>
          <t>Công ty vẫn chưa phát sinh doanh thu.</t>
        </is>
      </c>
      <c r="B1975" s="6" t="inlineStr">
        <is>
          <t>The Company has not generated any revenue yet.</t>
        </is>
      </c>
      <c r="C1975" s="6" t="inlineStr">
        <is>
          <t>公司尚未產生任何收入。</t>
        </is>
      </c>
      <c r="D1975" s="6" t="inlineStr">
        <is>
          <t>公司尚未產生任何收入。</t>
        </is>
      </c>
    </row>
    <row r="1976" ht="27.6" customFormat="1" customHeight="1" s="11">
      <c r="A1976" s="6" t="inlineStr">
        <is>
          <t>Chia lợi nhuận cho các chủ sở hữu:</t>
        </is>
      </c>
      <c r="B1976" s="6" t="inlineStr">
        <is>
          <t>Dividends paid to owners:</t>
        </is>
      </c>
      <c r="C1976" s="6" t="inlineStr">
        <is>
          <t>保留盈余分派予所有者：</t>
        </is>
      </c>
      <c r="D1976" s="6" t="inlineStr">
        <is>
          <t>保留盈餘分派予所有者：</t>
        </is>
      </c>
    </row>
    <row r="1977" ht="27.6" customFormat="1" customHeight="1" s="11">
      <c r="A1977" s="6" t="inlineStr">
        <is>
          <t>Thu nhập từ hoạt động chuyển nhượng bất động sản</t>
        </is>
      </c>
      <c r="B1977" s="6" t="inlineStr">
        <is>
          <t>Income from the transfer of real estate</t>
        </is>
      </c>
      <c r="C1977" s="6" t="inlineStr">
        <is>
          <t>不动产转让收入</t>
        </is>
      </c>
      <c r="D1977" s="6" t="inlineStr">
        <is>
          <t>不動產轉讓收入</t>
        </is>
      </c>
    </row>
    <row r="1978" customFormat="1" s="11">
      <c r="A1978" s="6" t="inlineStr">
        <is>
          <t>Cổ đông - Tổng Giám đốc</t>
        </is>
      </c>
      <c r="B1978" s="6" t="inlineStr">
        <is>
          <t>Shareholder - General Director</t>
        </is>
      </c>
      <c r="C1978" s="6" t="inlineStr">
        <is>
          <t>股东兼任总经理</t>
        </is>
      </c>
      <c r="D1978" s="6" t="inlineStr">
        <is>
          <t>股東兼任總經理</t>
        </is>
      </c>
    </row>
    <row r="1979" ht="27.6" customFormat="1" customHeight="1" s="11">
      <c r="A1979" s="6" t="inlineStr">
        <is>
          <t>Đánh giá CLTG cuối năm</t>
        </is>
      </c>
      <c r="B1979" s="6" t="inlineStr">
        <is>
          <t>Year-end foreign exchange revaluation</t>
        </is>
      </c>
      <c r="C1979" s="6" t="inlineStr">
        <is>
          <t>年底汇差重估</t>
        </is>
      </c>
      <c r="D1979" s="6" t="inlineStr">
        <is>
          <t>年底匯差重估</t>
        </is>
      </c>
    </row>
    <row r="1980" ht="27.6" customFormat="1" customHeight="1" s="11">
      <c r="A1980" s="6" t="inlineStr">
        <is>
          <t>Hệ thống phòng cháy chữa cháy</t>
        </is>
      </c>
      <c r="B1980" s="6" t="inlineStr">
        <is>
          <t>Fire prevention and fighting system</t>
        </is>
      </c>
      <c r="C1980" s="6" t="inlineStr">
        <is>
          <t>消防系统</t>
        </is>
      </c>
      <c r="D1980" s="6" t="inlineStr">
        <is>
          <t>消防系統</t>
        </is>
      </c>
    </row>
    <row r="1981" ht="27.6" customFormat="1" customHeight="1" s="11">
      <c r="A1981" s="6" t="inlineStr">
        <is>
          <t>Khấu hao tài sản cố định và bất động sản đầu tư</t>
        </is>
      </c>
      <c r="B1981" s="6" t="inlineStr">
        <is>
          <t>Depreciation of fixed assets and investment properties</t>
        </is>
      </c>
      <c r="C1981" s="6" t="inlineStr">
        <is>
          <t>固定资产及投资性房地产的折旧</t>
        </is>
      </c>
      <c r="D1981" s="6" t="inlineStr">
        <is>
          <t>固定資產及投資性房地產之折舊</t>
        </is>
      </c>
    </row>
    <row r="1982" customFormat="1" s="11">
      <c r="A1982" s="6" t="inlineStr">
        <is>
          <t>Ký quỹ thuê tài chính</t>
        </is>
      </c>
      <c r="B1982" s="6" t="inlineStr">
        <is>
          <t>Deposits for finance lease</t>
        </is>
      </c>
      <c r="C1982" s="6" t="inlineStr">
        <is>
          <t>融资租赁保证金</t>
        </is>
      </c>
      <c r="D1982" s="6" t="inlineStr">
        <is>
          <t>融資租賃保證金</t>
        </is>
      </c>
    </row>
    <row r="1983" customFormat="1" s="11">
      <c r="A1983" s="6" t="inlineStr">
        <is>
          <t>Theo từng lần nhận nợ</t>
        </is>
      </c>
      <c r="B1983" s="6" t="inlineStr">
        <is>
          <t>By each disbursement</t>
        </is>
      </c>
      <c r="C1983" s="6" t="inlineStr">
        <is>
          <t>按每笔拨付</t>
        </is>
      </c>
      <c r="D1983" s="6" t="inlineStr">
        <is>
          <t>按每筆撥付</t>
        </is>
      </c>
    </row>
    <row r="1984" ht="69" customFormat="1" customHeight="1" s="11">
      <c r="A1984" s="6" t="inlineStr">
        <is>
          <t>Các khoản mượn này không có văn bản thỏa thuận, không gánh chịu lãi suất và cũng không quy định thời hạn hoàn trả.</t>
        </is>
      </c>
      <c r="B1984" s="6" t="inlineStr">
        <is>
          <t>These borrowings are not supported by any written agreements, bear no interest, and have no specified repayment terms.</t>
        </is>
      </c>
      <c r="C1984" s="6" t="inlineStr">
        <is>
          <t>各项借款并无书面协议，不产生借款利息且无固定偿还期限。</t>
        </is>
      </c>
      <c r="D1984" s="6" t="inlineStr">
        <is>
          <t>各項借款並無書面協議，不產生借款利息且無固定償還期限。</t>
        </is>
      </c>
    </row>
    <row r="1985" customFormat="1" s="11">
      <c r="A1985" s="6" t="inlineStr">
        <is>
          <t>Ngày phụ lục hợp đồng</t>
        </is>
      </c>
      <c r="B1985" s="6" t="inlineStr">
        <is>
          <t>Contract addendum date</t>
        </is>
      </c>
      <c r="C1985" s="6" t="inlineStr">
        <is>
          <t>合同附件日期</t>
        </is>
      </c>
      <c r="D1985" s="6" t="inlineStr">
        <is>
          <t>合約附件日期</t>
        </is>
      </c>
    </row>
    <row r="1986" customFormat="1" s="11">
      <c r="A1986" s="6" t="inlineStr">
        <is>
          <t>Tài trợ vốn lưu động</t>
        </is>
      </c>
      <c r="B1986" s="6" t="inlineStr">
        <is>
          <t>Working capital financing</t>
        </is>
      </c>
      <c r="C1986" s="6" t="inlineStr">
        <is>
          <t>营运资金融资</t>
        </is>
      </c>
      <c r="D1986" s="6" t="inlineStr">
        <is>
          <t>營運資金融資</t>
        </is>
      </c>
    </row>
    <row r="1987" ht="55.2" customFormat="1" customHeight="1" s="11">
      <c r="A1987" s="6" t="inlineStr">
        <is>
          <t>Các khoản vay này không có tài sản đảm bảo và được quy định chi tiết theo các hợp đồng sau:</t>
        </is>
      </c>
      <c r="B1987" s="6" t="inlineStr">
        <is>
          <t>These loans are unsecured and are specified in detail under the following agreements:</t>
        </is>
      </c>
      <c r="C1987" s="6" t="inlineStr">
        <is>
          <t>该等借款为无担保借款，详列于以下协议：</t>
        </is>
      </c>
      <c r="D1987" s="6" t="inlineStr">
        <is>
          <t>該等借款為無擔保借款，詳列於以下協議：</t>
        </is>
      </c>
    </row>
    <row r="1988" ht="124.2" customFormat="1" customHeight="1" s="11">
      <c r="A1988" s="6" t="inlineStr">
        <is>
          <t xml:space="preserve">Công ty không ghi nhận tài sản thuế thu nhập hoãn lại thuế thu nhập hoãn lại phải trả vì không có chênh lệch đáng kể giữa giá trị ghi sổ của các khoản mục tài sản hoặc nợ phải trả trên Bảng cân đối kế toán và cơ sở tính thuế của các khoản mục này. </t>
        </is>
      </c>
      <c r="B1988" s="6" t="inlineStr">
        <is>
          <t xml:space="preserve">There are no deferred income tax assets deferred income tax liabilities recognized to the extent as there is no considerable differences between the net book value of items of assets or liabilities stated in the balance sheet and their tax bases. </t>
        </is>
      </c>
      <c r="C1988" s="6" t="inlineStr">
        <is>
          <t>资产或负债于资产负债表的账面金额与其课税基础并无重大差异，所以公司不认列递延所得税资产及递延所得税负债。</t>
        </is>
      </c>
      <c r="D1988" s="6" t="inlineStr">
        <is>
          <t>資產或負債於資產負債表的賬面金額與其課稅基礎並無重大差異，所以公司不認列遞延所得稅資產及遞延所得稅負債。</t>
        </is>
      </c>
    </row>
    <row r="1989" ht="27.6" customFormat="1" customHeight="1" s="11">
      <c r="A1989" s="6" t="inlineStr">
        <is>
          <t>Mua tài sản, nguyên vật liệu và công cụ, dụng cụ</t>
        </is>
      </c>
      <c r="B1989" s="6" t="inlineStr">
        <is>
          <t>Purchase of fixed assets, raw materials and tools, supplies</t>
        </is>
      </c>
      <c r="C1989" s="6" t="inlineStr">
        <is>
          <t>购买固定资产、原材料及工具用品</t>
        </is>
      </c>
      <c r="D1989" s="6" t="inlineStr">
        <is>
          <t>購買固定資產、原材料及工具用品</t>
        </is>
      </c>
    </row>
    <row r="1990" ht="27.6" customFormat="1" customHeight="1" s="11">
      <c r="A1990" s="6" t="inlineStr">
        <is>
          <t>Chuyển khoản vay thành vốn góp</t>
        </is>
      </c>
      <c r="B1990" s="6" t="inlineStr">
        <is>
          <t>Conversion of loans into capital contribution</t>
        </is>
      </c>
      <c r="C1990" s="6" t="inlineStr">
        <is>
          <t>贷款转为出资（债转股）</t>
        </is>
      </c>
      <c r="D1990" s="6" t="inlineStr">
        <is>
          <t>貸款轉為出資（債轉股）</t>
        </is>
      </c>
    </row>
    <row r="1991" ht="27.6" customFormat="1" customHeight="1" s="11">
      <c r="A1991" s="6" t="inlineStr">
        <is>
          <t>Được thanh toán hộ</t>
        </is>
      </c>
      <c r="B1991" s="6" t="inlineStr">
        <is>
          <t>Payments on behalf of the Company</t>
        </is>
      </c>
      <c r="C1991" s="6" t="inlineStr">
        <is>
          <t>代付款项</t>
        </is>
      </c>
      <c r="D1991" s="6" t="inlineStr">
        <is>
          <t>代付款項</t>
        </is>
      </c>
    </row>
    <row r="1992" ht="27.6" customFormat="1" customHeight="1" s="11">
      <c r="A1992" s="6" t="inlineStr">
        <is>
          <t>Trả lại tiền thanh toán hộ</t>
        </is>
      </c>
      <c r="B1992" s="6" t="inlineStr">
        <is>
          <t>Repayment of payments on behalf of the Company</t>
        </is>
      </c>
      <c r="C1992" s="6" t="inlineStr">
        <is>
          <t>偿还代付款项</t>
        </is>
      </c>
      <c r="D1992" s="6" t="inlineStr">
        <is>
          <t>償還代付款項</t>
        </is>
      </c>
    </row>
    <row r="1993" ht="27.6" customFormat="1" customHeight="1" s="11">
      <c r="A1993" s="6" t="inlineStr">
        <is>
          <t>Thanh toán hộ</t>
        </is>
      </c>
      <c r="B1993" s="6" t="inlineStr">
        <is>
          <t>Payments on behalf of related parties</t>
        </is>
      </c>
      <c r="C1993" s="6" t="inlineStr">
        <is>
          <t>代垫款项</t>
        </is>
      </c>
      <c r="D1993" s="6" t="inlineStr">
        <is>
          <t>代墊款項</t>
        </is>
      </c>
    </row>
    <row r="1994" ht="27.6" customFormat="1" customHeight="1" s="11">
      <c r="A1994" s="6" t="inlineStr">
        <is>
          <t>Thu lại tiền thanh toán hộ</t>
        </is>
      </c>
      <c r="B1994" s="6" t="inlineStr">
        <is>
          <t>Collection of payments on behalf of related parties</t>
        </is>
      </c>
      <c r="C1994" s="6" t="inlineStr">
        <is>
          <t>收取代垫款项</t>
        </is>
      </c>
      <c r="D1994" s="6" t="inlineStr">
        <is>
          <t>收取代墊款項</t>
        </is>
      </c>
    </row>
    <row r="1995" ht="55.2" customFormat="1" customHeight="1" s="11">
      <c r="A1995" s="6" t="inlineStr">
        <is>
          <t>Đây là các khoản tiền gửi ngân hàng có kỳ hạn</t>
        </is>
      </c>
      <c r="B1995" s="6" t="inlineStr">
        <is>
          <t>These are bank deposits with original maturities of not more than [số] months, details are as follows: [xóa]</t>
        </is>
      </c>
      <c r="C1995" s="6" t="inlineStr">
        <is>
          <t>为原始到期日不超过[số]个月的银行定期存款，明细如下： [xóa]</t>
        </is>
      </c>
      <c r="D1995" s="6" t="inlineStr">
        <is>
          <t>為原始到期日不超過[số]個月之銀行定期存款，明細如下： [xóa]</t>
        </is>
      </c>
    </row>
    <row r="1996" ht="69" customFormat="1" customHeight="1" s="11">
      <c r="A1996" s="6" t="inlineStr">
        <is>
          <t>Đây là các khoản mượn từ</t>
        </is>
      </c>
      <c r="B1996" s="6" t="inlineStr">
        <is>
          <t>These are borrowings from [tên] for supplementing working capital and serving the Company’s business operations.  [xóa]</t>
        </is>
      </c>
      <c r="C1996" s="6" t="inlineStr">
        <is>
          <t>是指公司向[tên]借用的款项，以用于补充公司流动资金并投入公生产、营业活动。 [xóa]</t>
        </is>
      </c>
      <c r="D1996" s="6" t="inlineStr">
        <is>
          <t>係指公司向[tên]借用之款項，以用於補充公司流動資金並投入公生產、營業活動。 [xóa]</t>
        </is>
      </c>
    </row>
    <row r="1997" ht="55.2" customFormat="1" customHeight="1" s="11">
      <c r="A1997" s="6" t="inlineStr">
        <is>
          <t>Công ty đã ký kết các hợp đồng thuê tài chính với Công ty cho thuê tài chính</t>
        </is>
      </c>
      <c r="B1997" s="6" t="inlineStr">
        <is>
          <t>The Company has entered into finance lease agreements with [tên] under the following finance lease contracts: [xóa]</t>
        </is>
      </c>
      <c r="C1997" s="6" t="inlineStr">
        <is>
          <t>公司与[tên]签订下列融资租赁合同： [xóa]</t>
        </is>
      </c>
      <c r="D1997" s="6" t="inlineStr">
        <is>
          <t>公司與[tên]簽訂下列融資租賃合約： [xóa]</t>
        </is>
      </c>
    </row>
    <row r="1998" customFormat="1" s="11">
      <c r="A1998" s="6" t="inlineStr">
        <is>
          <t>CDHĐ</t>
        </is>
      </c>
      <c r="B1998" s="6" t="inlineStr">
        <is>
          <t>CDHD</t>
        </is>
      </c>
      <c r="C1998" s="6" t="inlineStr">
        <is>
          <t>CDHD</t>
        </is>
      </c>
      <c r="D1998" s="6" t="inlineStr">
        <is>
          <t>CDHD</t>
        </is>
      </c>
    </row>
    <row r="1999" customFormat="1" s="11">
      <c r="A1999" s="6" t="inlineStr">
        <is>
          <t>Tạ Mỹ Linh</t>
        </is>
      </c>
      <c r="B1999" s="6" t="inlineStr">
        <is>
          <t>Ta My Linh</t>
        </is>
      </c>
      <c r="C1999" s="6" t="inlineStr">
        <is>
          <t>Ta My Linh</t>
        </is>
      </c>
      <c r="D1999" s="6" t="inlineStr">
        <is>
          <t>Ta My Linh</t>
        </is>
      </c>
    </row>
    <row r="2000" ht="27.6" customFormat="1" customHeight="1" s="11">
      <c r="A2000" s="6" t="inlineStr">
        <is>
          <t>Phó Tổng Giám đốc kiểm toán</t>
        </is>
      </c>
      <c r="B2000" s="6" t="inlineStr">
        <is>
          <t>Deputy General Director - Audit</t>
        </is>
      </c>
      <c r="C2000" s="6" t="inlineStr">
        <is>
          <t>审计副总经理</t>
        </is>
      </c>
      <c r="D2000" s="6" t="inlineStr">
        <is>
          <t>審計副總經理</t>
        </is>
      </c>
    </row>
    <row r="2001" customFormat="1" s="11">
      <c r="A2001" s="6" t="inlineStr">
        <is>
          <t>Nợ phải trả</t>
        </is>
      </c>
      <c r="B2001" s="6" t="inlineStr">
        <is>
          <t>Liabilities</t>
        </is>
      </c>
      <c r="C2001" s="6" t="inlineStr">
        <is>
          <t>负 债</t>
        </is>
      </c>
      <c r="D2001" s="6" t="inlineStr">
        <is>
          <t>負 債</t>
        </is>
      </c>
    </row>
    <row r="2002" customFormat="1" s="11">
      <c r="A2002" s="6" t="inlineStr">
        <is>
          <t>Điều chỉnh cho các khoản</t>
        </is>
      </c>
      <c r="B2002" s="6" t="inlineStr">
        <is>
          <t>Adjustments for</t>
        </is>
      </c>
      <c r="C2002" s="6" t="inlineStr">
        <is>
          <t>调整项目</t>
        </is>
      </c>
      <c r="D2002" s="6" t="inlineStr">
        <is>
          <t>調整項目</t>
        </is>
      </c>
    </row>
    <row r="2003" ht="82.8" customFormat="1" customHeight="1" s="11">
      <c r="A2003" s="6" t="inlineStr">
        <is>
          <t>Trong năm tài chính kết thúc 2025年12月31日, Công ty có các nghiệp vụ kinh tế quan trọng và các khoản phải trả với các bên liên quan được trình bày ở bảng sau:</t>
        </is>
      </c>
      <c r="B2003" s="6" t="n"/>
      <c r="C2003" s="6" t="n"/>
      <c r="D2003" s="6" t="n"/>
    </row>
    <row r="2004" customFormat="1" s="11">
      <c r="A2004" s="6" t="inlineStr">
        <is>
          <t>Cho mượn</t>
        </is>
      </c>
      <c r="B2004" s="6" t="n"/>
      <c r="C2004" s="6" t="n"/>
      <c r="D2004" s="6" t="n"/>
    </row>
    <row r="2005" ht="41.4" customFormat="1" customHeight="1" s="11">
      <c r="A2005" s="6" t="inlineStr">
        <is>
          <t>Các khoản đầu tư nắm giữ đến ngày đáo hạn là khoản cho vay nắm giữ đến ngày đáo hạn.</t>
        </is>
      </c>
      <c r="B2005" s="6" t="n"/>
      <c r="C2005" s="6" t="n"/>
      <c r="D2005" s="6" t="n"/>
    </row>
    <row r="2006" ht="55.2" customFormat="1" customHeight="1" s="11">
      <c r="A2006" s="6" t="inlineStr">
        <is>
          <t>Công ty không phát sinh các nghiệp vụ kinh tế quan trọng và các khoản phải thu, phải trả với các bên liên quan.</t>
        </is>
      </c>
      <c r="B2006" s="6" t="n"/>
      <c r="C2006" s="6" t="n"/>
      <c r="D2006" s="6" t="n"/>
    </row>
    <row r="2007" customFormat="1" s="11">
      <c r="A2007" s="6" t="inlineStr">
        <is>
          <t>HĐVT</t>
        </is>
      </c>
      <c r="B2007" s="6" t="inlineStr">
        <is>
          <t>HDVT</t>
        </is>
      </c>
      <c r="C2007" s="6" t="inlineStr">
        <is>
          <t>HDVT</t>
        </is>
      </c>
      <c r="D2007" s="6" t="inlineStr">
        <is>
          <t>HDVT</t>
        </is>
      </c>
    </row>
    <row r="2008" customFormat="1" s="11">
      <c r="A2008" s="6" t="inlineStr">
        <is>
          <t>Số Giấy CNĐKHN:</t>
        </is>
      </c>
      <c r="B2008" s="6" t="inlineStr">
        <is>
          <t>Registered No.:</t>
        </is>
      </c>
      <c r="C2008" s="6" t="n"/>
      <c r="D2008" s="6" t="n"/>
    </row>
    <row r="2009" ht="27.6" customFormat="1" customHeight="1" s="11">
      <c r="A2009" s="6" t="inlineStr">
        <is>
          <t>CÔNG TY TNHH KẾ TOÁN ES VIỆT NAM</t>
        </is>
      </c>
      <c r="B2009" s="6" t="inlineStr">
        <is>
          <t>ES ACCOUNTING VIETNAM CO., LTD</t>
        </is>
      </c>
      <c r="C2009" s="6" t="n"/>
      <c r="D2009" s="6" t="n"/>
    </row>
    <row r="2010" ht="41.4" customFormat="1" customHeight="1" s="11">
      <c r="A2010" s="6" t="inlineStr">
        <is>
          <t>2Bis-4-6 Lê Thánh Tôn, Phường Sài Gòn, Thành phố Hồ Chí Minh, Việt Nam</t>
        </is>
      </c>
      <c r="B2010" s="6" t="inlineStr">
        <is>
          <t>2Bis-4-6 Le Thanh Ton, Sai Gon Ward, Ho Chi Minh City, Vietnam</t>
        </is>
      </c>
      <c r="C2010" s="6" t="n"/>
      <c r="D2010" s="6" t="n"/>
    </row>
    <row r="2011" ht="27.6" customFormat="1" customHeight="1" s="11">
      <c r="A2011" s="6" t="inlineStr">
        <is>
          <t>Chi nhánh Fair Consulting Co., LTD Nhật Bản tại Việt Nam</t>
        </is>
      </c>
      <c r="B2011" s="6" t="inlineStr">
        <is>
          <t>Branch of Fair Consulting Co., Ltd. Japan in Vietnam</t>
        </is>
      </c>
      <c r="C2011" s="6" t="n"/>
      <c r="D2011" s="6" t="n"/>
    </row>
    <row r="2012" ht="41.4" customFormat="1" customHeight="1" s="11">
      <c r="A2012" s="6" t="inlineStr">
        <is>
          <t>Chi nhánh Fair Consulting Co., LTD Nhật Bản 
tại Việt Nam</t>
        </is>
      </c>
      <c r="B2012" s="6" t="inlineStr">
        <is>
          <t>Branch of Fair Consulting Co., Ltd. Japan in Vietnam</t>
        </is>
      </c>
      <c r="C2012" s="6" t="n"/>
      <c r="D2012" s="6" t="n"/>
    </row>
    <row r="2013" ht="69" customFormat="1" customHeight="1" s="11">
      <c r="A2013" s="6" t="inlineStr">
        <is>
          <t>Tầng 3, tòa nhà Sentinel Place, 41A Lý Thái Tổ, 
phường Lý Thái Tổ, quận Hoàn Kiếm, 
thành phố Hà Nội</t>
        </is>
      </c>
      <c r="B2013" s="6" t="inlineStr">
        <is>
          <t>Level 3, Sentinel Place Building, 41A Ly Thai To Street, Ly Thai To Ward, Hoan Kiem District, Hanoi City</t>
        </is>
      </c>
      <c r="C2013" s="6" t="n"/>
      <c r="D2013" s="6" t="n"/>
    </row>
    <row r="2014" ht="55.2" customFormat="1" customHeight="1" s="11">
      <c r="A2014" s="6" t="inlineStr">
        <is>
          <t>Tầng 3, tòa nhà Sentinel Place, 41A Lý Thái Tổ, phường Lý Thái Tổ, quận Hoàn Kiếm, thành phố Hà Nội</t>
        </is>
      </c>
      <c r="B2014" s="6" t="inlineStr">
        <is>
          <t>Level 3, Sentinel Place Building, 41A Ly Thai To Street, Ly Thai To Ward, Hoan Kiem District, Hanoi City</t>
        </is>
      </c>
      <c r="C2014" s="6" t="n"/>
      <c r="D2014" s="6" t="n"/>
    </row>
    <row r="2015" ht="27.6" customFormat="1" customHeight="1" s="11">
      <c r="A2015" s="6" t="inlineStr">
        <is>
          <t>Công ty TNHH Can International Advisory Vietnam</t>
        </is>
      </c>
      <c r="B2015" s="6" t="inlineStr">
        <is>
          <t>Can International Advisory Vietnam Company Limited</t>
        </is>
      </c>
      <c r="C2015" s="6" t="n"/>
      <c r="D2015" s="6" t="n"/>
    </row>
    <row r="2016" customFormat="1" s="11">
      <c r="A2016" s="6" t="inlineStr">
        <is>
          <t>Thuê lại quyền sử dụng đất</t>
        </is>
      </c>
      <c r="B2016" s="6" t="n"/>
      <c r="C2016" s="6" t="n"/>
      <c r="D2016" s="6" t="n"/>
    </row>
    <row r="2017" ht="124.2" customFormat="1" customHeight="1" s="11">
      <c r="A2017" s="17" t="inlineStr">
        <is>
          <t>Do ảnh hưởng các vấn đề nêu trên, chúng tôi none thể xác định liệu có cần điều chỉnh đối với các khoản mục trên bảng cân đối kế toán và lợi nhuận cho năm tài chính được báo cáo trong Income Statement và lưu chuyển tiền thuần trong Cash flow statement hay none.</t>
        </is>
      </c>
      <c r="B2017" s="6" t="n"/>
      <c r="C2017" s="6" t="n"/>
      <c r="D2017" s="6" t="n"/>
    </row>
    <row r="2018" customFormat="1" s="11">
      <c r="A2018" s="6" t="inlineStr">
        <is>
          <t>HĐTG</t>
        </is>
      </c>
      <c r="B2018" s="6" t="inlineStr">
        <is>
          <t>HDTG</t>
        </is>
      </c>
      <c r="C2018" s="6" t="inlineStr">
        <is>
          <t>HDTG</t>
        </is>
      </c>
      <c r="D2018" s="6" t="inlineStr">
        <is>
          <t>HDTG</t>
        </is>
      </c>
    </row>
    <row r="2019" ht="82.8" customFormat="1" customHeight="1" s="11">
      <c r="A2019" s="6" t="inlineStr">
        <is>
          <t xml:space="preserve">Các khoản đầu tư nắm giữ đến ngày đáo hạn bao gồm tiền gửi ngân hàng có kỳ hạn và các khoản cho vay nắm giữ đến ngày đáo hạn với mục đích thu lãi hàng kỳ. </t>
        </is>
      </c>
      <c r="B2019" s="6" t="n"/>
      <c r="C2019" s="6" t="n"/>
      <c r="D2019" s="6" t="n"/>
    </row>
    <row r="2020" ht="27.6" customFormat="1" customHeight="1" s="11">
      <c r="A2020" s="6" t="inlineStr">
        <is>
          <t>Chi tiết các khoản cho vay như sau:</t>
        </is>
      </c>
      <c r="B2020" s="6" t="n"/>
      <c r="C2020" s="6" t="n"/>
      <c r="D2020" s="6" t="n"/>
    </row>
    <row r="2021" customFormat="1" s="11">
      <c r="A2021" s="6" t="inlineStr">
        <is>
          <t>Phí dịch vụ tư vấn kỹ thuật</t>
        </is>
      </c>
      <c r="B2021" s="6" t="n"/>
      <c r="C2021" s="6" t="n"/>
      <c r="D2021" s="6" t="n"/>
    </row>
    <row r="2022" ht="41.4" customFormat="1" customHeight="1" s="11">
      <c r="A2022" s="6" t="inlineStr">
        <is>
          <t>Điều chỉnh giảm thuế thu nhập doanh nghiệp tối thiểu toàn cầu năm trước</t>
        </is>
      </c>
      <c r="B2022" s="6" t="n"/>
      <c r="C2022" s="6" t="n"/>
      <c r="D2022" s="6" t="n"/>
    </row>
    <row r="2023" ht="82.8" customFormat="1" customHeight="1" s="11">
      <c r="A2023" s="6" t="inlineStr">
        <is>
          <t>Các khoản đầu tư nắm giữ đến ngày đáo hạn bao gồm tiền gửi ngân hàng có kỳ hạn và các khoản cho vay nắm giữ đến ngày đáo hạn với mục đích thu lãi hàng kỳ.</t>
        </is>
      </c>
      <c r="B2023" s="6" t="n"/>
      <c r="C2023" s="6" t="n"/>
      <c r="D2023" s="6" t="n"/>
    </row>
    <row r="2024" ht="110.4" customFormat="1" customHeight="1" s="11">
      <c r="A2024" s="6" t="inlineStr">
        <is>
          <t>[nautilus] Công ty none lập dự phòng chi phí thuế thu nhập doanh nghiệp hiện hành trong năm 2025 vì Công ty none thu nhập tính thuế sau khi trừ khoản lỗ của các năm trước vào lợi nhuận chịu thuế trong năm hiện hành.</t>
        </is>
      </c>
      <c r="B2024" s="6" t="n"/>
      <c r="C2024" s="6" t="n"/>
      <c r="D2024" s="6" t="n"/>
    </row>
    <row r="2025" customFormat="1" s="11">
      <c r="A2025" s="6" t="inlineStr">
        <is>
          <t>Nhận lại tiền cho vay</t>
        </is>
      </c>
      <c r="B2025" s="6" t="n"/>
      <c r="C2025" s="6" t="n"/>
      <c r="D2025" s="6" t="n"/>
    </row>
    <row r="2026" customFormat="1" s="11">
      <c r="A2026" s="6" t="inlineStr">
        <is>
          <t>HĐTD</t>
        </is>
      </c>
      <c r="B2026" s="6" t="inlineStr">
        <is>
          <t>HDTD</t>
        </is>
      </c>
      <c r="C2026" s="6" t="inlineStr">
        <is>
          <t>HDTD</t>
        </is>
      </c>
      <c r="D2026" s="6" t="inlineStr">
        <is>
          <t>HDTD</t>
        </is>
      </c>
    </row>
    <row r="2027" ht="27.6" customFormat="1" customHeight="1" s="11">
      <c r="A2027" s="6" t="inlineStr">
        <is>
          <t>Các chủ đầu tư của Công ty bao gồm</t>
        </is>
      </c>
      <c r="B2027" s="6" t="n"/>
      <c r="C2027" s="6" t="n"/>
      <c r="D2027" s="6" t="n"/>
    </row>
    <row r="2028" ht="41.4" customFormat="1" customHeight="1" s="11">
      <c r="A2028" s="6" t="inlineStr">
        <is>
          <t>Công ty có nghĩa vụ nộp thuế thu nhập doanh nghiệp theo thuế suất 20%.</t>
        </is>
      </c>
      <c r="B2028" s="6" t="inlineStr">
        <is>
          <t>The Company is obliged to pay the corporate income tax at the applicable rate of 20%.</t>
        </is>
      </c>
      <c r="C2028" s="6" t="inlineStr">
        <is>
          <t>公司有义务按照20%税率缴纳企业所得税。</t>
        </is>
      </c>
      <c r="D2028" s="6" t="inlineStr">
        <is>
          <t>公司有義務按照20%稅率繳納企業所得稅。</t>
        </is>
      </c>
    </row>
    <row r="2029" customFormat="1" s="11">
      <c r="A2029" s="6" t="inlineStr">
        <is>
          <t>Thu nhập từ tiền lãi</t>
        </is>
      </c>
      <c r="B2029" s="6" t="n"/>
      <c r="C2029" s="6" t="n"/>
      <c r="D2029" s="6" t="n"/>
    </row>
    <row r="2030" customFormat="1" s="11">
      <c r="A2030" s="6" t="inlineStr">
        <is>
          <t>Nhữ Đức Trường</t>
        </is>
      </c>
      <c r="B2030" s="6" t="inlineStr">
        <is>
          <t>Nhu Duc Truong</t>
        </is>
      </c>
      <c r="C2030" s="6" t="inlineStr">
        <is>
          <t>Nhu Duc Truong</t>
        </is>
      </c>
      <c r="D2030" s="6" t="inlineStr">
        <is>
          <t>Nhu Duc Truong</t>
        </is>
      </c>
    </row>
    <row r="2031" customFormat="1" s="11">
      <c r="A2031" s="6" t="inlineStr">
        <is>
          <t>Phạm Quang Hiệu</t>
        </is>
      </c>
      <c r="B2031" s="6" t="inlineStr">
        <is>
          <t>Pham Quang Hieu</t>
        </is>
      </c>
      <c r="C2031" s="6" t="inlineStr">
        <is>
          <t>Pham Quang Hieu</t>
        </is>
      </c>
      <c r="D2031" s="6" t="inlineStr">
        <is>
          <t>Pham Quang Hieu</t>
        </is>
      </c>
    </row>
    <row r="2032" customFormat="1" s="11">
      <c r="A2032" s="6" t="inlineStr">
        <is>
          <t>Nguyễn Thị Hạnh</t>
        </is>
      </c>
      <c r="B2032" s="6" t="inlineStr">
        <is>
          <t>Nguyen Thi Hanh</t>
        </is>
      </c>
      <c r="C2032" s="6" t="inlineStr">
        <is>
          <t>Nguyen Thi Hanh</t>
        </is>
      </c>
      <c r="D2032" s="6" t="inlineStr">
        <is>
          <t>Nguyen Thi Hanh</t>
        </is>
      </c>
    </row>
    <row r="2033" customFormat="1" s="11">
      <c r="A2033" s="6" t="inlineStr">
        <is>
          <t>Hà Thị Thu Thúy</t>
        </is>
      </c>
      <c r="B2033" s="6" t="inlineStr">
        <is>
          <t>Ha Thi Thu Thuy</t>
        </is>
      </c>
      <c r="C2033" s="6" t="inlineStr">
        <is>
          <t>Ha Thi Thu Thuy</t>
        </is>
      </c>
      <c r="D2033" s="6" t="inlineStr">
        <is>
          <t>Ha Thi Thu Thuy</t>
        </is>
      </c>
    </row>
  </sheetData>
  <pageMargins left="0.7" right="0.7" top="0.75" bottom="0.75" header="0.3" footer="0.3"/>
  <pageSetup orientation="portrait" horizontalDpi="4294967295" verticalDpi="429496729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PHUONGLM</dc:creator>
  <dcterms:created xmlns:dcterms="http://purl.org/dc/terms/" xmlns:xsi="http://www.w3.org/2001/XMLSchema-instance" xsi:type="dcterms:W3CDTF">2026-04-17T05:02:40Z</dcterms:created>
  <dcterms:modified xmlns:dcterms="http://purl.org/dc/terms/" xmlns:xsi="http://www.w3.org/2001/XMLSchema-instance" xsi:type="dcterms:W3CDTF">2026-04-17T09:56:12Z</dcterms:modified>
  <cp:lastModifiedBy>PHUONGLM</cp:lastModifiedBy>
</cp:coreProperties>
</file>